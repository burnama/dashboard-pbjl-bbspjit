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5A9CDA72-8CAB-46E5-876B-FC9EECE058C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rget" sheetId="1" r:id="rId1"/>
    <sheet name="capaian" sheetId="2" r:id="rId2"/>
  </sheets>
  <calcPr calcId="191029" concurrentManualCount="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2" l="1"/>
  <c r="D16" i="2"/>
  <c r="E16" i="2"/>
  <c r="F16" i="2"/>
  <c r="G16" i="2"/>
  <c r="H16" i="2"/>
  <c r="I16" i="2"/>
  <c r="J16" i="2"/>
  <c r="K16" i="2"/>
  <c r="L16" i="2"/>
  <c r="M16" i="2"/>
  <c r="B16" i="2"/>
  <c r="C16" i="1"/>
  <c r="D16" i="1"/>
  <c r="E16" i="1"/>
  <c r="F16" i="1"/>
  <c r="G16" i="1"/>
  <c r="H16" i="1"/>
  <c r="I16" i="1"/>
  <c r="J16" i="1"/>
  <c r="K16" i="1"/>
  <c r="L16" i="1"/>
  <c r="M16" i="1"/>
  <c r="B16" i="1"/>
</calcChain>
</file>

<file path=xl/sharedStrings.xml><?xml version="1.0" encoding="utf-8"?>
<sst xmlns="http://schemas.openxmlformats.org/spreadsheetml/2006/main" count="54" uniqueCount="27">
  <si>
    <t>layanan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</si>
  <si>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</si>
  <si>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</si>
  <si>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</si>
  <si>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</si>
  <si>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</si>
  <si>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</si>
  <si>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</si>
  <si>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</si>
  <si>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</si>
  <si>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</si>
  <si>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</si>
  <si>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</si>
  <si>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pengujian</t>
  </si>
  <si>
    <t>lingkungan</t>
  </si>
  <si>
    <t>kalibrasi</t>
  </si>
  <si>
    <t>masker</t>
  </si>
  <si>
    <t>sertifikasi</t>
  </si>
  <si>
    <t>inspeksi</t>
  </si>
  <si>
    <t>konsultansi</t>
  </si>
  <si>
    <t>bimteks</t>
  </si>
  <si>
    <t>opti</t>
  </si>
  <si>
    <t>uji_profi</t>
  </si>
  <si>
    <t>verifikasi</t>
  </si>
  <si>
    <t>lph</t>
  </si>
  <si>
    <t>aset</t>
  </si>
  <si>
    <t>bagi_hasil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</si>
</sst>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p-421]* #,##0_-;\-[$Rp-421]* #,##0_-;_-[$Rp-421]* &quot;-&quot;??_-;_-@_-"/>
    <numFmt numFmtId="169" formatCode="&quot;Rp&quot;#,##0"/>
  </numFmts>
  <fonts count="3" x14ac:knownFonts="1">
    <font>
      <sz val="11"/>
      <color theme="1"/>
      <name val="Calibri"/>
      <family val="2"/>
      <scheme val="minor"/>
    </font>
    <font>
      <sz val="12"/>
      <color rgb="FF212529"/>
      <name val="Century Gothic"/>
      <family val="2"/>
    </font>
    <font>
      <sz val="7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EE2E6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1" fillId="2" borderId="1" xfId="0" applyNumberFormat="1" applyFont="1" applyFill="1" applyBorder="1" applyAlignment="1">
      <alignment horizontal="left" vertical="center" wrapText="1"/>
    </xf>
    <xf numFmtId="3" fontId="0" fillId="0" borderId="0" xfId="0" applyNumberFormat="1"/>
    <xf numFmtId="2" fontId="0" fillId="0" borderId="0" xfId="0" applyNumberFormat="1"/>
    <xf numFmtId="164" fontId="0" fillId="0" borderId="0" xfId="0" applyNumberFormat="1"/>
    <xf numFmtId="16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zoomScale="85" zoomScaleNormal="85" workbookViewId="0">
      <selection activeCell="B2" sqref="B2:M16"/>
    </sheetView>
  </sheetViews>
  <sheetFormatPr defaultRowHeight="14.4" x14ac:dyDescent="0.3"/>
  <cols>
    <col min="1" max="1" width="11.109375" customWidth="1"/>
    <col min="2" max="2" width="17.77734375" bestFit="1" customWidth="1"/>
    <col min="3" max="3" width="25.77734375" customWidth="1"/>
    <col min="4" max="4" width="23.6640625" bestFit="1" customWidth="1"/>
    <col min="5" max="8" width="17.77734375" bestFit="1" customWidth="1"/>
    <col min="9" max="9" width="18.77734375" bestFit="1" customWidth="1"/>
    <col min="10" max="11" width="17.77734375" bestFit="1" customWidth="1"/>
    <col min="12" max="13" width="18.7773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s="5">
        <v>232557460</v>
      </c>
      <c r="C2" s="5">
        <v>244240484</v>
      </c>
      <c r="D2" s="5">
        <v>213785423</v>
      </c>
      <c r="E2" s="5">
        <v>129319757</v>
      </c>
      <c r="F2" s="5">
        <v>134049417</v>
      </c>
      <c r="G2" s="5">
        <v>183087365</v>
      </c>
      <c r="H2" s="5">
        <v>219875438</v>
      </c>
      <c r="I2" s="5">
        <v>238355235</v>
      </c>
      <c r="J2" s="5">
        <v>221340440</v>
      </c>
      <c r="K2" s="5">
        <v>224128955</v>
      </c>
      <c r="L2" s="5">
        <v>237231672</v>
      </c>
      <c r="M2" s="5">
        <v>260901368</v>
      </c>
    </row>
    <row r="3" spans="1:13" x14ac:dyDescent="0.3">
      <c r="A3" t="s">
        <v>14</v>
      </c>
      <c r="B3" s="5">
        <v>102404254</v>
      </c>
      <c r="C3" s="5">
        <v>107803277</v>
      </c>
      <c r="D3" s="5">
        <v>94699212</v>
      </c>
      <c r="E3" s="5">
        <v>57530549</v>
      </c>
      <c r="F3" s="5">
        <v>59333291</v>
      </c>
      <c r="G3" s="5">
        <v>81291550</v>
      </c>
      <c r="H3" s="5">
        <v>97688800</v>
      </c>
      <c r="I3" s="5">
        <v>105430687</v>
      </c>
      <c r="J3" s="5">
        <v>97858688</v>
      </c>
      <c r="K3" s="5">
        <v>99143616</v>
      </c>
      <c r="L3" s="5">
        <v>104990144</v>
      </c>
      <c r="M3" s="5">
        <v>106402282</v>
      </c>
    </row>
    <row r="4" spans="1:13" x14ac:dyDescent="0.3">
      <c r="A4" t="s">
        <v>15</v>
      </c>
      <c r="B4" s="5">
        <v>48152214</v>
      </c>
      <c r="C4" s="5">
        <v>50639344</v>
      </c>
      <c r="D4" s="5">
        <v>44787873</v>
      </c>
      <c r="E4" s="5">
        <v>27910588</v>
      </c>
      <c r="F4" s="5">
        <v>28936799</v>
      </c>
      <c r="G4" s="5">
        <v>39020445</v>
      </c>
      <c r="H4" s="5">
        <v>46343688</v>
      </c>
      <c r="I4" s="5">
        <v>50021279</v>
      </c>
      <c r="J4" s="5">
        <v>46124840</v>
      </c>
      <c r="K4" s="5">
        <v>46807395</v>
      </c>
      <c r="L4" s="5">
        <v>49542320</v>
      </c>
      <c r="M4" s="5">
        <v>50230215</v>
      </c>
    </row>
    <row r="5" spans="1:13" x14ac:dyDescent="0.3">
      <c r="A5" t="s">
        <v>16</v>
      </c>
      <c r="B5" s="5">
        <v>59840875</v>
      </c>
      <c r="C5" s="5">
        <v>62994500</v>
      </c>
      <c r="D5" s="5">
        <v>55002813</v>
      </c>
      <c r="E5" s="5">
        <v>34416875</v>
      </c>
      <c r="F5" s="5">
        <v>35665625</v>
      </c>
      <c r="G5" s="5">
        <v>48398125</v>
      </c>
      <c r="H5" s="5">
        <v>57584375</v>
      </c>
      <c r="I5" s="5">
        <v>62210875</v>
      </c>
      <c r="J5" s="5">
        <v>57306875</v>
      </c>
      <c r="K5" s="5">
        <v>58108875</v>
      </c>
      <c r="L5" s="5">
        <v>61432000</v>
      </c>
      <c r="M5" s="5">
        <v>62335063</v>
      </c>
    </row>
    <row r="6" spans="1:13" x14ac:dyDescent="0.3">
      <c r="A6" t="s">
        <v>17</v>
      </c>
      <c r="B6" s="5">
        <v>200025755</v>
      </c>
      <c r="C6" s="5">
        <v>210041260</v>
      </c>
      <c r="D6" s="5">
        <v>183465025</v>
      </c>
      <c r="E6" s="5">
        <v>110306585</v>
      </c>
      <c r="F6" s="5">
        <v>114553885</v>
      </c>
      <c r="G6" s="5">
        <v>156716405</v>
      </c>
      <c r="H6" s="5">
        <v>188541375</v>
      </c>
      <c r="I6" s="5">
        <v>204367915</v>
      </c>
      <c r="J6" s="5">
        <v>188017600</v>
      </c>
      <c r="K6" s="5">
        <v>190231595</v>
      </c>
      <c r="L6" s="5">
        <v>201914680</v>
      </c>
      <c r="M6" s="5">
        <v>204320920</v>
      </c>
    </row>
    <row r="7" spans="1:13" x14ac:dyDescent="0.3">
      <c r="A7" t="s">
        <v>18</v>
      </c>
      <c r="B7" s="5">
        <v>11078950</v>
      </c>
      <c r="C7" s="5">
        <v>11649400</v>
      </c>
      <c r="D7" s="5">
        <v>10177250</v>
      </c>
      <c r="E7" s="5">
        <v>6176500</v>
      </c>
      <c r="F7" s="5">
        <v>6398150</v>
      </c>
      <c r="G7" s="5">
        <v>8775950</v>
      </c>
      <c r="H7" s="5">
        <v>10541875</v>
      </c>
      <c r="I7" s="5">
        <v>11426050</v>
      </c>
      <c r="J7" s="5">
        <v>10644000</v>
      </c>
      <c r="K7" s="5">
        <v>10781550</v>
      </c>
      <c r="L7" s="5">
        <v>11437000</v>
      </c>
      <c r="M7" s="5">
        <v>11543325</v>
      </c>
    </row>
    <row r="8" spans="1:13" x14ac:dyDescent="0.3">
      <c r="A8" t="s">
        <v>19</v>
      </c>
      <c r="B8" s="5">
        <v>18286100</v>
      </c>
      <c r="C8" s="5">
        <v>19245920</v>
      </c>
      <c r="D8" s="5">
        <v>17037550</v>
      </c>
      <c r="E8" s="5">
        <v>10208350</v>
      </c>
      <c r="F8" s="5">
        <v>10577350</v>
      </c>
      <c r="G8" s="5">
        <v>14512100</v>
      </c>
      <c r="H8" s="5">
        <v>17412500</v>
      </c>
      <c r="I8" s="5">
        <v>18772300</v>
      </c>
      <c r="J8" s="5">
        <v>17502000</v>
      </c>
      <c r="K8" s="5">
        <v>17720900</v>
      </c>
      <c r="L8" s="5">
        <v>18824000</v>
      </c>
      <c r="M8" s="5">
        <v>19096930</v>
      </c>
    </row>
    <row r="9" spans="1:13" x14ac:dyDescent="0.3">
      <c r="A9" t="s">
        <v>20</v>
      </c>
      <c r="B9" s="5">
        <v>47507350</v>
      </c>
      <c r="C9" s="5">
        <v>50026840</v>
      </c>
      <c r="D9" s="5">
        <v>44933350</v>
      </c>
      <c r="E9" s="5">
        <v>28027490</v>
      </c>
      <c r="F9" s="5">
        <v>29084090</v>
      </c>
      <c r="G9" s="5">
        <v>39536170</v>
      </c>
      <c r="H9" s="5">
        <v>46834750</v>
      </c>
      <c r="I9" s="5">
        <v>50632310</v>
      </c>
      <c r="J9" s="5">
        <v>46623900</v>
      </c>
      <c r="K9" s="5">
        <v>47326030</v>
      </c>
      <c r="L9" s="5">
        <v>50141920</v>
      </c>
      <c r="M9" s="5">
        <v>50825760</v>
      </c>
    </row>
    <row r="10" spans="1:13" x14ac:dyDescent="0.3">
      <c r="A10" t="s">
        <v>21</v>
      </c>
      <c r="B10" s="5">
        <v>162233850</v>
      </c>
      <c r="C10" s="5">
        <v>170995750</v>
      </c>
      <c r="D10" s="5">
        <v>153593500</v>
      </c>
      <c r="E10" s="5">
        <v>92639000</v>
      </c>
      <c r="F10" s="5">
        <v>96049950</v>
      </c>
      <c r="G10" s="5">
        <v>131073350</v>
      </c>
      <c r="H10" s="5">
        <v>155993750</v>
      </c>
      <c r="I10" s="5">
        <v>168001050</v>
      </c>
      <c r="J10" s="5">
        <v>154316000</v>
      </c>
      <c r="K10" s="5">
        <v>156279650</v>
      </c>
      <c r="L10" s="5">
        <v>165445000</v>
      </c>
      <c r="M10" s="5">
        <v>167379150</v>
      </c>
    </row>
    <row r="11" spans="1:13" x14ac:dyDescent="0.3">
      <c r="A11" t="s">
        <v>22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x14ac:dyDescent="0.3">
      <c r="A12" t="s">
        <v>23</v>
      </c>
      <c r="B12" s="5">
        <v>24970400</v>
      </c>
      <c r="C12" s="5">
        <v>26255680</v>
      </c>
      <c r="D12" s="5">
        <v>23177000</v>
      </c>
      <c r="E12" s="5">
        <v>13645800</v>
      </c>
      <c r="F12" s="5">
        <v>14199800</v>
      </c>
      <c r="G12" s="5">
        <v>19391400</v>
      </c>
      <c r="H12" s="5">
        <v>23084500</v>
      </c>
      <c r="I12" s="5">
        <v>24988200</v>
      </c>
      <c r="J12" s="5">
        <v>23002000</v>
      </c>
      <c r="K12" s="5">
        <v>23287400</v>
      </c>
      <c r="L12" s="5">
        <v>24653400</v>
      </c>
      <c r="M12" s="5">
        <v>24984420</v>
      </c>
    </row>
    <row r="13" spans="1:13" x14ac:dyDescent="0.3">
      <c r="A13" t="s">
        <v>24</v>
      </c>
      <c r="B13" s="5">
        <v>128660</v>
      </c>
      <c r="C13" s="5">
        <v>135520</v>
      </c>
      <c r="D13" s="5">
        <v>119000</v>
      </c>
      <c r="E13" s="5">
        <v>70090</v>
      </c>
      <c r="F13" s="5">
        <v>72260</v>
      </c>
      <c r="G13" s="5">
        <v>98060</v>
      </c>
      <c r="H13" s="5">
        <v>116500</v>
      </c>
      <c r="I13" s="5">
        <v>126580</v>
      </c>
      <c r="J13" s="5">
        <v>116600</v>
      </c>
      <c r="K13" s="5">
        <v>118340</v>
      </c>
      <c r="L13" s="5">
        <v>125360</v>
      </c>
      <c r="M13" s="5">
        <v>126880</v>
      </c>
    </row>
    <row r="14" spans="1:13" x14ac:dyDescent="0.3">
      <c r="A14" t="s">
        <v>25</v>
      </c>
      <c r="B14" s="5">
        <v>91725446</v>
      </c>
      <c r="C14" s="5">
        <v>96654418</v>
      </c>
      <c r="D14" s="5">
        <v>86096436</v>
      </c>
      <c r="E14" s="5">
        <v>51207417</v>
      </c>
      <c r="F14" s="5">
        <v>53088700</v>
      </c>
      <c r="G14" s="5">
        <v>72763227</v>
      </c>
      <c r="H14" s="5">
        <v>86841225</v>
      </c>
      <c r="I14" s="5">
        <v>93439905</v>
      </c>
      <c r="J14" s="5">
        <v>85754416</v>
      </c>
      <c r="K14" s="5">
        <v>86829866</v>
      </c>
      <c r="L14" s="5">
        <v>91932525</v>
      </c>
      <c r="M14" s="5">
        <v>93148369</v>
      </c>
    </row>
    <row r="15" spans="1:13" x14ac:dyDescent="0.3">
      <c r="A15" t="s">
        <v>26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  <row r="16" spans="1:13" x14ac:dyDescent="0.3">
      <c r="B16" s="5">
        <f>SUM(B2:B15)</f>
        <v>998911314</v>
      </c>
      <c r="C16" s="5">
        <f t="shared" ref="C16:M16" si="0">SUM(C2:C15)</f>
        <v>1050682393</v>
      </c>
      <c r="D16" s="5">
        <f t="shared" si="0"/>
        <v>926874432</v>
      </c>
      <c r="E16" s="5">
        <f t="shared" si="0"/>
        <v>561459001</v>
      </c>
      <c r="F16" s="5">
        <f t="shared" si="0"/>
        <v>582009317</v>
      </c>
      <c r="G16" s="5">
        <f t="shared" si="0"/>
        <v>794664147</v>
      </c>
      <c r="H16" s="5">
        <f t="shared" si="0"/>
        <v>950858776</v>
      </c>
      <c r="I16" s="5">
        <f t="shared" si="0"/>
        <v>1027772386</v>
      </c>
      <c r="J16" s="5">
        <f t="shared" si="0"/>
        <v>948607359</v>
      </c>
      <c r="K16" s="5">
        <f t="shared" si="0"/>
        <v>960764172</v>
      </c>
      <c r="L16" s="5">
        <f t="shared" si="0"/>
        <v>1017670021</v>
      </c>
      <c r="M16" s="5">
        <f t="shared" si="0"/>
        <v>1051294682</v>
      </c>
    </row>
    <row r="17" spans="2:13" x14ac:dyDescent="0.3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9" spans="2:13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2:13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2:13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2:13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2:13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2:13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2:13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2:13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2:13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9" spans="2:13" x14ac:dyDescent="0.3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2:13" x14ac:dyDescent="0.3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2:13" x14ac:dyDescent="0.3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1"/>
  <sheetViews>
    <sheetView tabSelected="1" zoomScale="85" zoomScaleNormal="85" workbookViewId="0">
      <selection activeCell="B2" sqref="B2:M16"/>
    </sheetView>
  </sheetViews>
  <sheetFormatPr defaultRowHeight="14.4" x14ac:dyDescent="0.3"/>
  <cols>
    <col min="1" max="1" width="19.6640625" customWidth="1"/>
    <col min="2" max="12" width="18.6640625" bestFit="1" customWidth="1"/>
    <col min="13" max="13" width="22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4" x14ac:dyDescent="0.3">
      <c r="A2" t="s">
        <v>13</v>
      </c>
      <c r="B2" s="5">
        <v>152536000</v>
      </c>
      <c r="C2" s="5">
        <v>150851000</v>
      </c>
      <c r="D2" s="5">
        <v>146738000</v>
      </c>
      <c r="E2" s="5">
        <v>31600000</v>
      </c>
      <c r="F2" s="5">
        <v>209982000</v>
      </c>
      <c r="G2" s="5">
        <v>149842500</v>
      </c>
      <c r="H2" s="5">
        <v>185288750</v>
      </c>
      <c r="I2" s="5">
        <v>131029250</v>
      </c>
      <c r="J2" s="5">
        <v>223161000</v>
      </c>
      <c r="K2" s="5">
        <v>197590000</v>
      </c>
      <c r="L2" s="5">
        <v>204054000</v>
      </c>
      <c r="M2" s="5">
        <v>194254750</v>
      </c>
    </row>
    <row r="3" spans="1:14" x14ac:dyDescent="0.3">
      <c r="A3" t="s">
        <v>14</v>
      </c>
      <c r="B3" s="5">
        <v>88025000</v>
      </c>
      <c r="C3" s="5">
        <v>41650000</v>
      </c>
      <c r="D3" s="5">
        <v>161612500</v>
      </c>
      <c r="E3" s="5">
        <v>26750000</v>
      </c>
      <c r="F3" s="5">
        <v>63750000</v>
      </c>
      <c r="G3" s="5">
        <v>177625000</v>
      </c>
      <c r="H3" s="5">
        <v>116475000</v>
      </c>
      <c r="I3" s="5">
        <v>174487500</v>
      </c>
      <c r="J3" s="5">
        <v>83425000</v>
      </c>
      <c r="K3" s="5">
        <v>114000000</v>
      </c>
      <c r="L3" s="5">
        <v>120075000</v>
      </c>
      <c r="M3" s="5">
        <v>239327500</v>
      </c>
    </row>
    <row r="4" spans="1:14" x14ac:dyDescent="0.3">
      <c r="A4" t="s">
        <v>15</v>
      </c>
      <c r="B4" s="5">
        <v>36600000</v>
      </c>
      <c r="C4" s="5">
        <v>38692000</v>
      </c>
      <c r="D4" s="5">
        <v>11215000</v>
      </c>
      <c r="E4" s="5">
        <v>15119000</v>
      </c>
      <c r="F4" s="5">
        <v>63711000</v>
      </c>
      <c r="G4" s="5">
        <v>52412100</v>
      </c>
      <c r="H4" s="5">
        <v>25475000</v>
      </c>
      <c r="I4" s="5">
        <v>51600000</v>
      </c>
      <c r="J4" s="5">
        <v>67077200</v>
      </c>
      <c r="K4" s="5">
        <v>161645000</v>
      </c>
      <c r="L4" s="5">
        <v>48075000</v>
      </c>
      <c r="M4" s="5">
        <v>105698000</v>
      </c>
    </row>
    <row r="5" spans="1:14" x14ac:dyDescent="0.3">
      <c r="A5" t="s">
        <v>16</v>
      </c>
      <c r="B5" s="5">
        <v>2400000</v>
      </c>
      <c r="C5" s="5">
        <v>0</v>
      </c>
      <c r="D5" s="5">
        <v>0</v>
      </c>
      <c r="E5" s="5">
        <v>18300000</v>
      </c>
      <c r="F5" s="5">
        <v>42900000</v>
      </c>
      <c r="G5" s="5">
        <v>57650000</v>
      </c>
      <c r="H5" s="5">
        <v>5900000</v>
      </c>
      <c r="I5" s="5">
        <v>12000000</v>
      </c>
      <c r="J5" s="5">
        <v>9600000</v>
      </c>
      <c r="K5" s="5">
        <v>20000000</v>
      </c>
      <c r="L5" s="5">
        <v>0</v>
      </c>
      <c r="M5" s="5">
        <v>29100000</v>
      </c>
    </row>
    <row r="6" spans="1:14" x14ac:dyDescent="0.3">
      <c r="A6" t="s">
        <v>17</v>
      </c>
      <c r="B6" s="5">
        <v>84200000</v>
      </c>
      <c r="C6" s="5">
        <v>87050000</v>
      </c>
      <c r="D6" s="5">
        <v>84100000</v>
      </c>
      <c r="E6" s="5">
        <v>44000000</v>
      </c>
      <c r="F6" s="5">
        <v>93950000</v>
      </c>
      <c r="G6" s="5">
        <v>119050000</v>
      </c>
      <c r="H6" s="5">
        <v>106950000</v>
      </c>
      <c r="I6" s="5">
        <v>183450000</v>
      </c>
      <c r="J6" s="5">
        <v>109750000</v>
      </c>
      <c r="K6" s="5">
        <v>87150000</v>
      </c>
      <c r="L6" s="5">
        <v>287250000</v>
      </c>
      <c r="M6" s="5">
        <v>170250000</v>
      </c>
    </row>
    <row r="7" spans="1:14" x14ac:dyDescent="0.3">
      <c r="A7" t="s">
        <v>18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4" x14ac:dyDescent="0.3">
      <c r="A8" t="s">
        <v>19</v>
      </c>
      <c r="B8" s="5">
        <v>12000000</v>
      </c>
      <c r="C8" s="5">
        <v>3000000</v>
      </c>
      <c r="D8" s="5">
        <v>3000000</v>
      </c>
      <c r="E8" s="5">
        <v>45000000</v>
      </c>
      <c r="F8" s="5">
        <v>0</v>
      </c>
      <c r="G8" s="5">
        <v>69000000</v>
      </c>
      <c r="H8" s="5">
        <v>6000000</v>
      </c>
      <c r="I8" s="5">
        <v>3000000</v>
      </c>
      <c r="J8" s="5">
        <v>248000000</v>
      </c>
      <c r="K8" s="5">
        <v>0</v>
      </c>
      <c r="L8" s="5">
        <v>100294000</v>
      </c>
      <c r="M8" s="5">
        <v>15000000</v>
      </c>
    </row>
    <row r="9" spans="1:14" x14ac:dyDescent="0.3">
      <c r="A9" t="s">
        <v>20</v>
      </c>
      <c r="B9" s="5">
        <v>30000000</v>
      </c>
      <c r="C9" s="5">
        <v>15000000</v>
      </c>
      <c r="D9" s="5">
        <v>0</v>
      </c>
      <c r="E9" s="5">
        <v>0</v>
      </c>
      <c r="F9" s="5">
        <v>0</v>
      </c>
      <c r="G9" s="5">
        <v>10500000</v>
      </c>
      <c r="H9" s="5">
        <v>0</v>
      </c>
      <c r="I9" s="5">
        <v>0</v>
      </c>
      <c r="J9" s="5">
        <v>0</v>
      </c>
      <c r="K9" s="5">
        <v>49000000</v>
      </c>
      <c r="L9" s="5">
        <v>18200000</v>
      </c>
      <c r="M9" s="5">
        <v>0</v>
      </c>
    </row>
    <row r="10" spans="1:14" x14ac:dyDescent="0.3">
      <c r="A10" t="s">
        <v>21</v>
      </c>
      <c r="B10" s="5">
        <v>24000000</v>
      </c>
      <c r="C10" s="5">
        <v>99000000</v>
      </c>
      <c r="D10" s="5">
        <v>3000000</v>
      </c>
      <c r="E10" s="5">
        <v>19500000</v>
      </c>
      <c r="F10" s="5">
        <v>5250000</v>
      </c>
      <c r="G10" s="5">
        <v>93000000</v>
      </c>
      <c r="H10" s="5">
        <v>481625000</v>
      </c>
      <c r="I10" s="5">
        <v>0</v>
      </c>
      <c r="J10" s="5">
        <v>216710000</v>
      </c>
      <c r="K10" s="5">
        <v>31290000</v>
      </c>
      <c r="L10" s="5">
        <v>61240000</v>
      </c>
      <c r="M10" s="5">
        <v>275500000</v>
      </c>
    </row>
    <row r="11" spans="1:14" x14ac:dyDescent="0.3">
      <c r="A11" t="s">
        <v>22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4" x14ac:dyDescent="0.3">
      <c r="A12" t="s">
        <v>23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74180000</v>
      </c>
    </row>
    <row r="13" spans="1:14" x14ac:dyDescent="0.3">
      <c r="A13" t="s">
        <v>24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350000</v>
      </c>
      <c r="K13" s="5">
        <v>0</v>
      </c>
      <c r="L13" s="5">
        <v>0</v>
      </c>
      <c r="M13" s="5">
        <v>25306937</v>
      </c>
    </row>
    <row r="14" spans="1:14" ht="15" thickBot="1" x14ac:dyDescent="0.35">
      <c r="A14" t="s">
        <v>25</v>
      </c>
      <c r="B14" s="5">
        <v>3248000</v>
      </c>
      <c r="C14" s="5">
        <v>10990100</v>
      </c>
      <c r="D14" s="5">
        <v>0</v>
      </c>
      <c r="E14" s="5">
        <v>311525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4" ht="15" x14ac:dyDescent="0.3">
      <c r="A15" t="s">
        <v>26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1940128.87</v>
      </c>
      <c r="H15" s="5">
        <v>2668795.89</v>
      </c>
      <c r="I15" s="5">
        <v>2005291.67</v>
      </c>
      <c r="J15" s="5">
        <v>2067948.79</v>
      </c>
      <c r="K15" s="5">
        <v>2491960.0699999998</v>
      </c>
      <c r="L15" s="5">
        <v>2806002.97</v>
      </c>
      <c r="M15" s="5">
        <v>3450415</v>
      </c>
      <c r="N15" s="1"/>
    </row>
    <row r="16" spans="1:14" x14ac:dyDescent="0.3">
      <c r="B16" s="5">
        <f>SUM(B2:B15)</f>
        <v>433009000</v>
      </c>
      <c r="C16" s="5">
        <f t="shared" ref="C16:M16" si="0">SUM(C2:C15)</f>
        <v>446233100</v>
      </c>
      <c r="D16" s="5">
        <f t="shared" si="0"/>
        <v>409665500</v>
      </c>
      <c r="E16" s="5">
        <f t="shared" si="0"/>
        <v>200580525</v>
      </c>
      <c r="F16" s="5">
        <f t="shared" si="0"/>
        <v>479543000</v>
      </c>
      <c r="G16" s="5">
        <f t="shared" si="0"/>
        <v>731019728.87</v>
      </c>
      <c r="H16" s="5">
        <f t="shared" si="0"/>
        <v>930382545.88999999</v>
      </c>
      <c r="I16" s="5">
        <f t="shared" si="0"/>
        <v>557572041.66999996</v>
      </c>
      <c r="J16" s="5">
        <f t="shared" si="0"/>
        <v>960141148.78999996</v>
      </c>
      <c r="K16" s="5">
        <f t="shared" si="0"/>
        <v>663166960.07000005</v>
      </c>
      <c r="L16" s="5">
        <f t="shared" si="0"/>
        <v>841994002.97000003</v>
      </c>
      <c r="M16" s="5">
        <f t="shared" si="0"/>
        <v>1132067602</v>
      </c>
    </row>
    <row r="18" spans="2:13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2:13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2:13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2:13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2:13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2:13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2:13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2:13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2:13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2:13" x14ac:dyDescent="0.3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2:13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2:13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2:13" x14ac:dyDescent="0.3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2:13" x14ac:dyDescent="0.3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target</vt:lpstr>
      <vt:lpstr>capaian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2025-12-01T07:31:38Z</dcterms:created>
  <dcterms:modified xsi:type="dcterms:W3CDTF">2025-12-08T02:37:46Z</dcterms:modified>
  <cp:category/>
</cp:coreProperties>
</file>