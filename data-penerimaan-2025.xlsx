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5A37C5E5-F862-4D43-AB55-698658256B7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rget" sheetId="1" r:id="rId1"/>
    <sheet name="capaian" sheetId="2" r:id="rId2"/>
    <sheet name="ikm" sheetId="3" r:id="rId3"/>
    <sheet name="np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1" l="1"/>
  <c r="C16" i="1"/>
  <c r="D16" i="1"/>
  <c r="E16" i="1"/>
  <c r="F16" i="1"/>
  <c r="G16" i="1"/>
  <c r="H16" i="1"/>
  <c r="I16" i="1"/>
  <c r="J16" i="1"/>
  <c r="K16" i="1"/>
  <c r="L16" i="1"/>
  <c r="M16" i="1"/>
  <c r="B16" i="1"/>
  <c r="C16" i="2"/>
  <c r="D16" i="2"/>
  <c r="E16" i="2"/>
  <c r="F16" i="2"/>
  <c r="G16" i="2"/>
  <c r="H16" i="2"/>
  <c r="I16" i="2"/>
  <c r="J16" i="2"/>
  <c r="K16" i="2"/>
  <c r="L16" i="2"/>
  <c r="M16" i="2"/>
  <c r="B16" i="2"/>
</calcChain>
</file>

<file path=xl/sharedStrings.xml><?xml version="1.0" encoding="utf-8"?>
<sst xmlns="http://schemas.openxmlformats.org/spreadsheetml/2006/main" count="70" uniqueCount="37">
  <si>
    <t>layanan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</si>
  <si>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</si>
  <si>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</si>
  <si>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</si>
  <si>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</si>
  <si>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</si>
  <si>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</si>
  <si>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</si>
  <si>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</si>
  <si>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</si>
  <si>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</si>
  <si>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</si>
  <si>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</si>
  <si>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pengujian</t>
  </si>
  <si>
    <t>lingkungan</t>
  </si>
  <si>
    <t>kalibrasi</t>
  </si>
  <si>
    <t>masker</t>
  </si>
  <si>
    <t>sertifikasi</t>
  </si>
  <si>
    <t>inspeksi</t>
  </si>
  <si>
    <t>konsultansi</t>
  </si>
  <si>
    <t>bimteks</t>
  </si>
  <si>
    <t>opti</t>
  </si>
  <si>
    <t>uji_profi</t>
  </si>
  <si>
    <t>verifikasi</t>
  </si>
  <si>
    <t>lph</t>
  </si>
  <si>
    <t>aset</t>
  </si>
  <si>
    <t>bagi_hasil</t>
  </si>
  <si>
    <t>IKM</t>
  </si>
  <si>
    <t>NPS</t>
  </si>
  <si>
    <t>Triwulan</t>
  </si>
  <si>
    <t xml:space="preserve">triwulan </t>
  </si>
  <si>
    <t>tertinggi</t>
  </si>
  <si>
    <t>unsur_tertinggi</t>
  </si>
  <si>
    <t>unsur_terendah</t>
  </si>
  <si>
    <t>perilaku_petugas</t>
  </si>
  <si>
    <t>prosedur</t>
  </si>
  <si>
    <t>terendah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</si>
</sst>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p&quot;#,##0;[Red]\-&quot;Rp&quot;#,##0"/>
    <numFmt numFmtId="164" formatCode="&quot;Rp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6" fontId="1" fillId="0" borderId="0" xfId="0" applyNumberFormat="1" applyFont="1" applyAlignment="1">
      <alignment vertical="center" wrapText="1"/>
    </xf>
    <xf numFmtId="164" fontId="1" fillId="0" borderId="0" xfId="0" applyNumberFormat="1" applyFont="1"/>
    <xf numFmtId="10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zoomScale="85" zoomScaleNormal="85" workbookViewId="0">
      <selection activeCell="M2" sqref="M2:M16"/>
    </sheetView>
  </sheetViews>
  <sheetFormatPr defaultRowHeight="14.4" x14ac:dyDescent="0.3"/>
  <cols>
    <col min="1" max="1" width="10.109375" bestFit="1" customWidth="1"/>
    <col min="2" max="13" width="17.5546875" bestFit="1" customWidth="1"/>
    <col min="14" max="16" width="11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5" x14ac:dyDescent="0.3">
      <c r="A2" t="s">
        <v>13</v>
      </c>
      <c r="B2" s="2">
        <v>178456330</v>
      </c>
      <c r="C2" s="2">
        <v>184202200</v>
      </c>
      <c r="D2" s="2">
        <v>180969295</v>
      </c>
      <c r="E2" s="2">
        <v>160514855</v>
      </c>
      <c r="F2" s="2">
        <v>163388420</v>
      </c>
      <c r="G2" s="2">
        <v>160855880</v>
      </c>
      <c r="H2" s="2">
        <v>168820360</v>
      </c>
      <c r="I2" s="2">
        <v>176784840</v>
      </c>
      <c r="J2" s="2">
        <v>172459160</v>
      </c>
      <c r="K2" s="2">
        <v>175247920</v>
      </c>
      <c r="L2" s="2">
        <v>282768350</v>
      </c>
      <c r="M2" s="6">
        <v>253795176</v>
      </c>
      <c r="O2" s="1"/>
    </row>
    <row r="3" spans="1:15" x14ac:dyDescent="0.3">
      <c r="A3" t="s">
        <v>14</v>
      </c>
      <c r="B3" s="2">
        <v>99770060</v>
      </c>
      <c r="C3" s="2">
        <v>103921540</v>
      </c>
      <c r="D3" s="2">
        <v>102139190</v>
      </c>
      <c r="E3" s="2">
        <v>90489910</v>
      </c>
      <c r="F3" s="2">
        <v>92298440</v>
      </c>
      <c r="G3" s="2">
        <v>90795760</v>
      </c>
      <c r="H3" s="2">
        <v>95198920</v>
      </c>
      <c r="I3" s="2">
        <v>99602080</v>
      </c>
      <c r="J3" s="2">
        <v>97011720</v>
      </c>
      <c r="K3" s="2">
        <v>98731160</v>
      </c>
      <c r="L3" s="2">
        <v>103080150</v>
      </c>
      <c r="M3" s="6">
        <v>102561070</v>
      </c>
    </row>
    <row r="4" spans="1:15" x14ac:dyDescent="0.3">
      <c r="A4" t="s">
        <v>15</v>
      </c>
      <c r="B4" s="2">
        <v>58314660</v>
      </c>
      <c r="C4" s="2">
        <v>60684140</v>
      </c>
      <c r="D4" s="2">
        <v>59440590</v>
      </c>
      <c r="E4" s="2">
        <v>52376710</v>
      </c>
      <c r="F4" s="2">
        <v>53405240</v>
      </c>
      <c r="G4" s="2">
        <v>52509480</v>
      </c>
      <c r="H4" s="2">
        <v>55089240</v>
      </c>
      <c r="I4" s="2">
        <v>57668010</v>
      </c>
      <c r="J4" s="2">
        <v>56465920</v>
      </c>
      <c r="K4" s="2">
        <v>57461080</v>
      </c>
      <c r="L4" s="2">
        <v>59933745</v>
      </c>
      <c r="M4" s="6">
        <v>59141185</v>
      </c>
    </row>
    <row r="5" spans="1:15" x14ac:dyDescent="0.3">
      <c r="A5" t="s">
        <v>16</v>
      </c>
      <c r="B5" s="2">
        <v>16680000</v>
      </c>
      <c r="C5" s="2">
        <v>17200000</v>
      </c>
      <c r="D5" s="2">
        <v>16820000</v>
      </c>
      <c r="E5" s="2">
        <v>14980000</v>
      </c>
      <c r="F5" s="2">
        <v>15200000</v>
      </c>
      <c r="G5" s="2">
        <v>14960000</v>
      </c>
      <c r="H5" s="2">
        <v>15760000</v>
      </c>
      <c r="I5" s="2">
        <v>16500000</v>
      </c>
      <c r="J5" s="2">
        <v>16160000</v>
      </c>
      <c r="K5" s="2">
        <v>16420000</v>
      </c>
      <c r="L5" s="2">
        <v>17100000</v>
      </c>
      <c r="M5" s="6">
        <v>16620000</v>
      </c>
    </row>
    <row r="6" spans="1:15" x14ac:dyDescent="0.3">
      <c r="A6" t="s">
        <v>17</v>
      </c>
      <c r="B6" s="2">
        <v>145728610</v>
      </c>
      <c r="C6" s="2">
        <v>151601240</v>
      </c>
      <c r="D6" s="2">
        <v>148851490</v>
      </c>
      <c r="E6" s="2">
        <v>132149910</v>
      </c>
      <c r="F6" s="2">
        <v>134597540</v>
      </c>
      <c r="G6" s="2">
        <v>132845680</v>
      </c>
      <c r="H6" s="2">
        <v>139471820</v>
      </c>
      <c r="I6" s="2">
        <v>146098960</v>
      </c>
      <c r="J6" s="2">
        <v>142382360</v>
      </c>
      <c r="K6" s="2">
        <v>144831020</v>
      </c>
      <c r="L6" s="2">
        <v>150822230</v>
      </c>
      <c r="M6" s="6">
        <v>150017140</v>
      </c>
    </row>
    <row r="7" spans="1:15" x14ac:dyDescent="0.3">
      <c r="A7" t="s">
        <v>18</v>
      </c>
      <c r="B7" s="2">
        <v>4178000</v>
      </c>
      <c r="C7" s="2">
        <v>4348000</v>
      </c>
      <c r="D7" s="2">
        <v>4205000</v>
      </c>
      <c r="E7" s="2">
        <v>3731000</v>
      </c>
      <c r="F7" s="2">
        <v>3800000</v>
      </c>
      <c r="G7" s="2">
        <v>3760000</v>
      </c>
      <c r="H7" s="2">
        <v>3940000</v>
      </c>
      <c r="I7" s="2">
        <v>4140000</v>
      </c>
      <c r="J7" s="2">
        <v>4040000</v>
      </c>
      <c r="K7" s="2">
        <v>4130000</v>
      </c>
      <c r="L7" s="2">
        <v>4305000</v>
      </c>
      <c r="M7" s="6">
        <v>4275000</v>
      </c>
    </row>
    <row r="8" spans="1:15" x14ac:dyDescent="0.3">
      <c r="A8" t="s">
        <v>19</v>
      </c>
      <c r="B8" s="2">
        <v>48046560</v>
      </c>
      <c r="C8" s="2">
        <v>50089600</v>
      </c>
      <c r="D8" s="2">
        <v>49095360</v>
      </c>
      <c r="E8" s="2">
        <v>43046400</v>
      </c>
      <c r="F8" s="2">
        <v>44608000</v>
      </c>
      <c r="G8" s="2">
        <v>43315200</v>
      </c>
      <c r="H8" s="2">
        <v>45388800</v>
      </c>
      <c r="I8" s="2">
        <v>47462400</v>
      </c>
      <c r="J8" s="2">
        <v>46425600</v>
      </c>
      <c r="K8" s="2">
        <v>47355200</v>
      </c>
      <c r="L8" s="2">
        <v>49785600</v>
      </c>
      <c r="M8" s="6">
        <v>48980480</v>
      </c>
    </row>
    <row r="9" spans="1:15" x14ac:dyDescent="0.3">
      <c r="A9" t="s">
        <v>20</v>
      </c>
      <c r="B9" s="2">
        <v>16249200</v>
      </c>
      <c r="C9" s="2">
        <v>16927000</v>
      </c>
      <c r="D9" s="2">
        <v>16594000</v>
      </c>
      <c r="E9" s="2">
        <v>14563000</v>
      </c>
      <c r="F9" s="2">
        <v>15040000</v>
      </c>
      <c r="G9" s="2">
        <v>14641000</v>
      </c>
      <c r="H9" s="2">
        <v>15340000</v>
      </c>
      <c r="I9" s="2">
        <v>16113000</v>
      </c>
      <c r="J9" s="2">
        <v>15781000</v>
      </c>
      <c r="K9" s="2">
        <v>15985000</v>
      </c>
      <c r="L9" s="2">
        <v>16818000</v>
      </c>
      <c r="M9" s="6">
        <v>16749800</v>
      </c>
    </row>
    <row r="10" spans="1:15" x14ac:dyDescent="0.3">
      <c r="A10" t="s">
        <v>21</v>
      </c>
      <c r="B10" s="2">
        <v>76036000</v>
      </c>
      <c r="C10" s="2">
        <v>79288000</v>
      </c>
      <c r="D10" s="2">
        <v>77792000</v>
      </c>
      <c r="E10" s="2">
        <v>68908000</v>
      </c>
      <c r="F10" s="2">
        <v>71445000</v>
      </c>
      <c r="G10" s="2">
        <v>69984000</v>
      </c>
      <c r="H10" s="2">
        <v>73016000</v>
      </c>
      <c r="I10" s="2">
        <v>76048000</v>
      </c>
      <c r="J10" s="2">
        <v>74352000</v>
      </c>
      <c r="K10" s="2">
        <v>75624000</v>
      </c>
      <c r="L10" s="2">
        <v>79460000</v>
      </c>
      <c r="M10" s="6">
        <v>78048000</v>
      </c>
    </row>
    <row r="11" spans="1:15" x14ac:dyDescent="0.3">
      <c r="A11" t="s">
        <v>22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6">
        <v>0</v>
      </c>
    </row>
    <row r="12" spans="1:15" x14ac:dyDescent="0.3">
      <c r="A12" t="s">
        <v>23</v>
      </c>
      <c r="B12" s="2">
        <v>9282090</v>
      </c>
      <c r="C12" s="2">
        <v>9673320</v>
      </c>
      <c r="D12" s="2">
        <v>9458430</v>
      </c>
      <c r="E12" s="2">
        <v>8350230</v>
      </c>
      <c r="F12" s="2">
        <v>8515320</v>
      </c>
      <c r="G12" s="2">
        <v>8400000</v>
      </c>
      <c r="H12" s="2">
        <v>8767260</v>
      </c>
      <c r="I12" s="2">
        <v>9134520</v>
      </c>
      <c r="J12" s="2">
        <v>8931600</v>
      </c>
      <c r="K12" s="2">
        <v>9084690</v>
      </c>
      <c r="L12" s="2">
        <v>9493935</v>
      </c>
      <c r="M12" s="6">
        <v>9351615</v>
      </c>
    </row>
    <row r="13" spans="1:15" x14ac:dyDescent="0.3">
      <c r="A13" t="s">
        <v>24</v>
      </c>
      <c r="B13" s="2">
        <v>2732423</v>
      </c>
      <c r="C13" s="2">
        <v>2848914</v>
      </c>
      <c r="D13" s="2">
        <v>2786999</v>
      </c>
      <c r="E13" s="2">
        <v>2459391</v>
      </c>
      <c r="F13" s="2">
        <v>2510364</v>
      </c>
      <c r="G13" s="2">
        <v>2479972</v>
      </c>
      <c r="H13" s="2">
        <v>2598877</v>
      </c>
      <c r="I13" s="2">
        <v>2717782</v>
      </c>
      <c r="J13" s="2">
        <v>2664931</v>
      </c>
      <c r="K13" s="2">
        <v>2707352</v>
      </c>
      <c r="L13" s="2">
        <v>2830539</v>
      </c>
      <c r="M13" s="6">
        <v>2746460</v>
      </c>
    </row>
    <row r="14" spans="1:15" x14ac:dyDescent="0.3">
      <c r="A14" t="s">
        <v>25</v>
      </c>
      <c r="B14" s="2">
        <v>25213784</v>
      </c>
      <c r="C14" s="2">
        <v>26269676</v>
      </c>
      <c r="D14" s="2">
        <v>25797484</v>
      </c>
      <c r="E14" s="2">
        <v>22734462</v>
      </c>
      <c r="F14" s="2">
        <v>23216088</v>
      </c>
      <c r="G14" s="2">
        <v>22790275</v>
      </c>
      <c r="H14" s="2">
        <v>23778988</v>
      </c>
      <c r="I14" s="2">
        <v>24767701</v>
      </c>
      <c r="J14" s="2">
        <v>24203933</v>
      </c>
      <c r="K14" s="2">
        <v>24600299</v>
      </c>
      <c r="L14" s="2">
        <v>25989443</v>
      </c>
      <c r="M14" s="6">
        <v>25708867</v>
      </c>
    </row>
    <row r="15" spans="1:15" x14ac:dyDescent="0.3">
      <c r="A15" t="s">
        <v>26</v>
      </c>
      <c r="B15" s="2">
        <v>2628000</v>
      </c>
      <c r="C15" s="2">
        <v>2744000</v>
      </c>
      <c r="D15" s="2">
        <v>2690000</v>
      </c>
      <c r="E15" s="2">
        <v>2370000</v>
      </c>
      <c r="F15" s="2">
        <v>2450000</v>
      </c>
      <c r="G15" s="2">
        <v>2410000</v>
      </c>
      <c r="H15" s="2">
        <v>2520000</v>
      </c>
      <c r="I15" s="2">
        <v>2630000</v>
      </c>
      <c r="J15" s="2">
        <v>2570000</v>
      </c>
      <c r="K15" s="2">
        <v>2610000</v>
      </c>
      <c r="L15" s="2">
        <v>2740000</v>
      </c>
      <c r="M15" s="6">
        <v>2636000</v>
      </c>
    </row>
    <row r="16" spans="1:15" x14ac:dyDescent="0.3">
      <c r="B16" s="2">
        <f>SUM(B2:B15)</f>
        <v>683315717</v>
      </c>
      <c r="C16" s="2">
        <f t="shared" ref="C16:M16" si="0">SUM(C2:C15)</f>
        <v>709797630</v>
      </c>
      <c r="D16" s="2">
        <f t="shared" si="0"/>
        <v>696639838</v>
      </c>
      <c r="E16" s="2">
        <f t="shared" si="0"/>
        <v>616673868</v>
      </c>
      <c r="F16" s="2">
        <f t="shared" si="0"/>
        <v>630474412</v>
      </c>
      <c r="G16" s="2">
        <f t="shared" si="0"/>
        <v>619747247</v>
      </c>
      <c r="H16" s="2">
        <f t="shared" si="0"/>
        <v>649690265</v>
      </c>
      <c r="I16" s="2">
        <f t="shared" si="0"/>
        <v>679667293</v>
      </c>
      <c r="J16" s="2">
        <f t="shared" si="0"/>
        <v>663448224</v>
      </c>
      <c r="K16" s="2">
        <f t="shared" si="0"/>
        <v>674787721</v>
      </c>
      <c r="L16" s="2">
        <f t="shared" si="0"/>
        <v>805126992</v>
      </c>
      <c r="M16" s="6">
        <f t="shared" si="0"/>
        <v>770630793</v>
      </c>
    </row>
    <row r="17" spans="2:13" x14ac:dyDescent="0.3">
      <c r="B17" s="6">
        <f>SUM(B16:M16)</f>
        <v>8200000000</v>
      </c>
    </row>
    <row r="19" spans="2:13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2:13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2:13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2:13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2:13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2:13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2:13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2:13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2:13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9" spans="2:13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2:13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2:13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2:13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7"/>
  <sheetViews>
    <sheetView tabSelected="1" zoomScale="74" zoomScaleNormal="100" workbookViewId="0">
      <selection activeCell="E15" sqref="E15"/>
    </sheetView>
  </sheetViews>
  <sheetFormatPr defaultRowHeight="14.4" x14ac:dyDescent="0.3"/>
  <cols>
    <col min="1" max="1" width="10.109375" bestFit="1" customWidth="1"/>
    <col min="2" max="12" width="17.5546875" bestFit="1" customWidth="1"/>
    <col min="13" max="13" width="14.109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s="2">
        <v>178056750</v>
      </c>
      <c r="C2" s="2">
        <v>167949000</v>
      </c>
      <c r="D2" s="2">
        <v>109747000</v>
      </c>
      <c r="E2" s="2">
        <v>112171000</v>
      </c>
      <c r="F2" s="2">
        <v>161467000</v>
      </c>
      <c r="G2" s="2">
        <v>166113100</v>
      </c>
      <c r="H2" s="2">
        <v>306211750</v>
      </c>
      <c r="I2" s="2">
        <v>168560000</v>
      </c>
      <c r="J2" s="2">
        <v>271419500</v>
      </c>
      <c r="K2" s="2">
        <v>172213750</v>
      </c>
      <c r="L2" s="2">
        <v>246552000</v>
      </c>
      <c r="M2" s="2">
        <v>85390000</v>
      </c>
    </row>
    <row r="3" spans="1:13" x14ac:dyDescent="0.3">
      <c r="A3" t="s">
        <v>14</v>
      </c>
      <c r="B3" s="2">
        <v>164437500</v>
      </c>
      <c r="C3" s="2">
        <v>170250000</v>
      </c>
      <c r="D3" s="2">
        <v>88935000</v>
      </c>
      <c r="E3" s="2">
        <v>62075000</v>
      </c>
      <c r="F3" s="2">
        <v>112272500</v>
      </c>
      <c r="G3" s="2">
        <v>101890000</v>
      </c>
      <c r="H3" s="2">
        <v>176905000</v>
      </c>
      <c r="I3" s="2">
        <v>201850000</v>
      </c>
      <c r="J3" s="2">
        <v>158335000</v>
      </c>
      <c r="K3" s="2">
        <v>121825000</v>
      </c>
      <c r="L3" s="2">
        <v>109245000</v>
      </c>
      <c r="M3" s="2">
        <v>31900000</v>
      </c>
    </row>
    <row r="4" spans="1:13" x14ac:dyDescent="0.3">
      <c r="A4" t="s">
        <v>15</v>
      </c>
      <c r="B4" s="2">
        <v>95408000</v>
      </c>
      <c r="C4" s="2">
        <v>93528000</v>
      </c>
      <c r="D4" s="2">
        <v>71134000</v>
      </c>
      <c r="E4" s="2">
        <v>59937500</v>
      </c>
      <c r="F4" s="2">
        <v>62019490</v>
      </c>
      <c r="G4" s="2">
        <v>68809100</v>
      </c>
      <c r="H4" s="2">
        <v>24024100</v>
      </c>
      <c r="I4" s="2">
        <v>7800000</v>
      </c>
      <c r="J4" s="2">
        <v>47747900</v>
      </c>
      <c r="K4" s="2">
        <v>51179100</v>
      </c>
      <c r="L4" s="2">
        <v>30295000</v>
      </c>
      <c r="M4" s="2">
        <v>10130000</v>
      </c>
    </row>
    <row r="5" spans="1:13" x14ac:dyDescent="0.3">
      <c r="A5" t="s">
        <v>16</v>
      </c>
      <c r="B5" s="2">
        <v>7100000</v>
      </c>
      <c r="C5" s="2">
        <v>1500000</v>
      </c>
      <c r="D5" s="2">
        <v>0</v>
      </c>
      <c r="E5" s="2">
        <v>34500000</v>
      </c>
      <c r="F5" s="2">
        <v>7125000</v>
      </c>
      <c r="G5" s="2">
        <v>8625000</v>
      </c>
      <c r="H5" s="2">
        <v>2925000</v>
      </c>
      <c r="I5" s="2">
        <v>8775000</v>
      </c>
      <c r="J5" s="2">
        <v>43700000</v>
      </c>
      <c r="K5" s="2">
        <v>5900000</v>
      </c>
      <c r="L5" s="2">
        <v>3650000</v>
      </c>
      <c r="M5" s="2">
        <v>0</v>
      </c>
    </row>
    <row r="6" spans="1:13" x14ac:dyDescent="0.3">
      <c r="A6" t="s">
        <v>17</v>
      </c>
      <c r="B6" s="2">
        <v>146250000</v>
      </c>
      <c r="C6" s="2">
        <v>116400000</v>
      </c>
      <c r="D6" s="2">
        <v>62700000</v>
      </c>
      <c r="E6" s="2">
        <v>47500000</v>
      </c>
      <c r="F6" s="2">
        <v>71700000</v>
      </c>
      <c r="G6" s="2">
        <v>159100000</v>
      </c>
      <c r="H6" s="2">
        <v>140750000</v>
      </c>
      <c r="I6" s="2">
        <v>116300000</v>
      </c>
      <c r="J6" s="2">
        <v>115950000</v>
      </c>
      <c r="K6" s="2">
        <v>80850000</v>
      </c>
      <c r="L6" s="2">
        <v>199500000</v>
      </c>
      <c r="M6" s="2">
        <v>44050000</v>
      </c>
    </row>
    <row r="7" spans="1:13" x14ac:dyDescent="0.3">
      <c r="A7" t="s">
        <v>18</v>
      </c>
      <c r="B7" s="2">
        <v>20100000</v>
      </c>
      <c r="C7" s="2">
        <v>0</v>
      </c>
      <c r="D7" s="2">
        <v>50000000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33435000</v>
      </c>
      <c r="L7" s="2">
        <v>0</v>
      </c>
      <c r="M7" s="2">
        <v>0</v>
      </c>
    </row>
    <row r="8" spans="1:13" x14ac:dyDescent="0.3">
      <c r="A8" t="s">
        <v>19</v>
      </c>
      <c r="B8" s="2">
        <v>11000000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61225000</v>
      </c>
      <c r="K8" s="2">
        <v>0</v>
      </c>
      <c r="L8" s="2">
        <v>132961100</v>
      </c>
      <c r="M8" s="2">
        <v>0</v>
      </c>
    </row>
    <row r="9" spans="1:13" x14ac:dyDescent="0.3">
      <c r="A9" t="s">
        <v>20</v>
      </c>
      <c r="B9" s="2">
        <v>1100000</v>
      </c>
      <c r="C9" s="2">
        <v>2000000</v>
      </c>
      <c r="D9" s="2">
        <v>2700000</v>
      </c>
      <c r="E9" s="2">
        <v>520000</v>
      </c>
      <c r="F9" s="2">
        <v>1920000</v>
      </c>
      <c r="G9" s="2">
        <v>94955000</v>
      </c>
      <c r="H9" s="2">
        <v>27000000</v>
      </c>
      <c r="I9" s="2">
        <v>25000000</v>
      </c>
      <c r="J9" s="2">
        <v>0</v>
      </c>
      <c r="K9" s="2">
        <v>0</v>
      </c>
      <c r="L9" s="2">
        <v>73500000</v>
      </c>
      <c r="M9" s="2">
        <v>0</v>
      </c>
    </row>
    <row r="10" spans="1:13" x14ac:dyDescent="0.3">
      <c r="A10" t="s">
        <v>21</v>
      </c>
      <c r="B10" s="2">
        <v>58250000</v>
      </c>
      <c r="C10" s="2">
        <v>3000000</v>
      </c>
      <c r="D10" s="2">
        <v>24000000</v>
      </c>
      <c r="E10" s="2">
        <v>355000000</v>
      </c>
      <c r="F10" s="2">
        <v>115500000</v>
      </c>
      <c r="G10" s="2">
        <v>55125000</v>
      </c>
      <c r="H10" s="2">
        <v>75000000</v>
      </c>
      <c r="I10" s="2">
        <v>127000000</v>
      </c>
      <c r="J10" s="2">
        <v>35500000</v>
      </c>
      <c r="K10" s="2">
        <v>133500000</v>
      </c>
      <c r="L10" s="2">
        <v>39500000</v>
      </c>
      <c r="M10" s="2">
        <v>6000000</v>
      </c>
    </row>
    <row r="11" spans="1:13" x14ac:dyDescent="0.3">
      <c r="A11" t="s">
        <v>22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3">
      <c r="A12" t="s">
        <v>23</v>
      </c>
      <c r="B12" s="2">
        <v>85552000</v>
      </c>
      <c r="C12" s="2">
        <v>130235000</v>
      </c>
      <c r="D12" s="2">
        <v>115402000</v>
      </c>
      <c r="E12" s="2">
        <v>203875000</v>
      </c>
      <c r="F12" s="2">
        <v>68000000</v>
      </c>
      <c r="G12" s="2">
        <v>110336500</v>
      </c>
      <c r="H12" s="2">
        <v>78000000</v>
      </c>
      <c r="I12" s="2">
        <v>59350000</v>
      </c>
      <c r="J12" s="2">
        <v>0</v>
      </c>
      <c r="K12" s="2">
        <v>114239000</v>
      </c>
      <c r="L12" s="2">
        <v>147231500</v>
      </c>
      <c r="M12" s="2">
        <v>0</v>
      </c>
    </row>
    <row r="13" spans="1:13" x14ac:dyDescent="0.3">
      <c r="A13" t="s">
        <v>24</v>
      </c>
      <c r="B13" s="2">
        <v>5250000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18192000</v>
      </c>
      <c r="K13" s="2">
        <v>9503500</v>
      </c>
      <c r="L13" s="2">
        <v>0</v>
      </c>
      <c r="M13" s="2">
        <v>0</v>
      </c>
    </row>
    <row r="14" spans="1:13" x14ac:dyDescent="0.3">
      <c r="A14" t="s">
        <v>25</v>
      </c>
      <c r="B14" s="2">
        <v>0</v>
      </c>
      <c r="C14" s="2">
        <v>0</v>
      </c>
      <c r="D14" s="2">
        <v>1400000</v>
      </c>
      <c r="E14" s="2">
        <v>0</v>
      </c>
      <c r="F14" s="2">
        <v>51984000</v>
      </c>
      <c r="G14" s="2">
        <v>26000000</v>
      </c>
      <c r="H14" s="2">
        <v>26000000</v>
      </c>
      <c r="I14" s="2">
        <v>26000000</v>
      </c>
      <c r="J14" s="2">
        <v>26000000</v>
      </c>
      <c r="K14" s="2">
        <v>26690000</v>
      </c>
      <c r="L14" s="2">
        <v>26000000</v>
      </c>
      <c r="M14" s="2">
        <v>13000000</v>
      </c>
    </row>
    <row r="15" spans="1:13" x14ac:dyDescent="0.3">
      <c r="A15" t="s">
        <v>26</v>
      </c>
      <c r="B15" s="2">
        <v>4231497.5200000005</v>
      </c>
      <c r="C15" s="2">
        <v>5079246.74</v>
      </c>
      <c r="D15" s="2">
        <v>5746025.0899999999</v>
      </c>
      <c r="E15" s="2">
        <v>5902685.7000000002</v>
      </c>
      <c r="F15" s="2">
        <v>0</v>
      </c>
      <c r="G15" s="2">
        <v>6359633</v>
      </c>
      <c r="H15" s="2">
        <v>6749558.0299999993</v>
      </c>
      <c r="I15" s="2">
        <v>15547661.630000001</v>
      </c>
      <c r="J15" s="2">
        <v>8719724.75</v>
      </c>
      <c r="K15" s="2">
        <v>8938621.9900000002</v>
      </c>
      <c r="L15" s="2">
        <v>8634309.2400000002</v>
      </c>
      <c r="M15" s="2">
        <v>0</v>
      </c>
    </row>
    <row r="16" spans="1:13" x14ac:dyDescent="0.3">
      <c r="B16" s="2">
        <f>SUM(B2:B15)</f>
        <v>776735747.51999998</v>
      </c>
      <c r="C16" s="2">
        <f t="shared" ref="C16:M16" si="0">SUM(C2:C15)</f>
        <v>689941246.74000001</v>
      </c>
      <c r="D16" s="2">
        <f t="shared" si="0"/>
        <v>531764025.08999997</v>
      </c>
      <c r="E16" s="2">
        <f t="shared" si="0"/>
        <v>881481185.70000005</v>
      </c>
      <c r="F16" s="2">
        <f t="shared" si="0"/>
        <v>651987990</v>
      </c>
      <c r="G16" s="2">
        <f t="shared" si="0"/>
        <v>797313333</v>
      </c>
      <c r="H16" s="2">
        <f t="shared" si="0"/>
        <v>863565408.02999997</v>
      </c>
      <c r="I16" s="2">
        <f t="shared" si="0"/>
        <v>756182661.63</v>
      </c>
      <c r="J16" s="2">
        <f t="shared" si="0"/>
        <v>786789124.75</v>
      </c>
      <c r="K16" s="2">
        <f t="shared" si="0"/>
        <v>758273971.99000001</v>
      </c>
      <c r="L16" s="2">
        <f t="shared" si="0"/>
        <v>1017068909.24</v>
      </c>
      <c r="M16" s="2">
        <f t="shared" si="0"/>
        <v>190470000</v>
      </c>
    </row>
    <row r="23" spans="7:8" x14ac:dyDescent="0.3">
      <c r="G23" s="3"/>
      <c r="H23" s="3"/>
    </row>
    <row r="24" spans="7:8" x14ac:dyDescent="0.3">
      <c r="G24" s="4"/>
      <c r="H24" s="5"/>
    </row>
    <row r="25" spans="7:8" x14ac:dyDescent="0.3">
      <c r="G25" s="4"/>
      <c r="H25" s="5"/>
    </row>
    <row r="26" spans="7:8" x14ac:dyDescent="0.3">
      <c r="G26" s="4"/>
      <c r="H26" s="5"/>
    </row>
    <row r="27" spans="7:8" x14ac:dyDescent="0.3">
      <c r="G27" s="4"/>
      <c r="H27" s="5"/>
    </row>
    <row r="28" spans="7:8" x14ac:dyDescent="0.3">
      <c r="G28" s="4"/>
      <c r="H28" s="5"/>
    </row>
    <row r="29" spans="7:8" x14ac:dyDescent="0.3">
      <c r="G29" s="4"/>
      <c r="H29" s="5"/>
    </row>
    <row r="30" spans="7:8" x14ac:dyDescent="0.3">
      <c r="G30" s="4"/>
      <c r="H30" s="5"/>
    </row>
    <row r="31" spans="7:8" x14ac:dyDescent="0.3">
      <c r="G31" s="4"/>
      <c r="H31" s="5"/>
    </row>
    <row r="32" spans="7:8" x14ac:dyDescent="0.3">
      <c r="G32" s="4"/>
      <c r="H32" s="5"/>
    </row>
    <row r="33" spans="7:8" x14ac:dyDescent="0.3">
      <c r="G33" s="4"/>
      <c r="H33" s="5"/>
    </row>
    <row r="34" spans="7:8" x14ac:dyDescent="0.3">
      <c r="G34" s="4"/>
      <c r="H34" s="5"/>
    </row>
    <row r="35" spans="7:8" x14ac:dyDescent="0.3">
      <c r="G35" s="4"/>
      <c r="H35" s="5"/>
    </row>
    <row r="36" spans="7:8" x14ac:dyDescent="0.3">
      <c r="G36" s="4"/>
      <c r="H36" s="5"/>
    </row>
    <row r="37" spans="7:8" x14ac:dyDescent="0.3">
      <c r="G37" s="4"/>
      <c r="H37" s="5"/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B7CB4-290F-4056-9EB5-F985A4D4009A}">
  <dimension ref="A1:E6"/>
  <sheetViews>
    <sheetView workbookViewId="0">
      <selection activeCell="A5" sqref="A5"/>
    </sheetView>
  </sheetViews>
  <sheetFormatPr defaultRowHeight="14.4" x14ac:dyDescent="0.3"/>
  <cols>
    <col min="1" max="1" width="13.88671875" bestFit="1" customWidth="1"/>
    <col min="2" max="5" width="14.88671875" bestFit="1" customWidth="1"/>
  </cols>
  <sheetData>
    <row r="1" spans="1:5" x14ac:dyDescent="0.3">
      <c r="A1" t="s">
        <v>30</v>
      </c>
      <c r="B1" s="9">
        <v>1</v>
      </c>
      <c r="C1" s="9">
        <v>2</v>
      </c>
      <c r="D1" s="9">
        <v>3</v>
      </c>
      <c r="E1" s="9">
        <v>4</v>
      </c>
    </row>
    <row r="2" spans="1:5" x14ac:dyDescent="0.3">
      <c r="A2" t="s">
        <v>27</v>
      </c>
      <c r="B2">
        <v>3.77</v>
      </c>
      <c r="C2">
        <v>3.83</v>
      </c>
      <c r="D2">
        <v>3.8</v>
      </c>
      <c r="E2">
        <v>3.93</v>
      </c>
    </row>
    <row r="3" spans="1:5" x14ac:dyDescent="0.3">
      <c r="A3" t="s">
        <v>31</v>
      </c>
      <c r="B3">
        <v>3.89</v>
      </c>
      <c r="C3">
        <v>3.91</v>
      </c>
      <c r="D3">
        <v>3.89</v>
      </c>
      <c r="E3">
        <v>3.99</v>
      </c>
    </row>
    <row r="4" spans="1:5" x14ac:dyDescent="0.3">
      <c r="A4" t="s">
        <v>36</v>
      </c>
      <c r="B4">
        <v>3.67</v>
      </c>
      <c r="C4">
        <v>3.72</v>
      </c>
      <c r="D4">
        <v>3.7</v>
      </c>
      <c r="E4">
        <v>3.87</v>
      </c>
    </row>
    <row r="5" spans="1:5" x14ac:dyDescent="0.3">
      <c r="A5" t="s">
        <v>32</v>
      </c>
      <c r="B5" s="8" t="s">
        <v>34</v>
      </c>
      <c r="C5" s="8" t="s">
        <v>34</v>
      </c>
      <c r="D5" s="8" t="s">
        <v>34</v>
      </c>
      <c r="E5" s="8" t="s">
        <v>34</v>
      </c>
    </row>
    <row r="6" spans="1:5" x14ac:dyDescent="0.3">
      <c r="A6" t="s">
        <v>33</v>
      </c>
      <c r="B6" s="8" t="s">
        <v>35</v>
      </c>
      <c r="C6" s="8" t="s">
        <v>35</v>
      </c>
      <c r="D6" s="8" t="s">
        <v>35</v>
      </c>
      <c r="E6" s="8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55596-8424-4CF4-8BAC-6884470DEE15}">
  <dimension ref="A1:E2"/>
  <sheetViews>
    <sheetView workbookViewId="0">
      <selection activeCell="E10" sqref="E10"/>
    </sheetView>
  </sheetViews>
  <sheetFormatPr defaultRowHeight="14.4" x14ac:dyDescent="0.3"/>
  <cols>
    <col min="1" max="1" width="18.6640625" bestFit="1" customWidth="1"/>
    <col min="2" max="2" width="13.6640625" customWidth="1"/>
  </cols>
  <sheetData>
    <row r="1" spans="1:5" x14ac:dyDescent="0.3">
      <c r="A1" t="s">
        <v>29</v>
      </c>
      <c r="B1">
        <v>1</v>
      </c>
      <c r="C1">
        <v>2</v>
      </c>
      <c r="D1">
        <v>3</v>
      </c>
      <c r="E1">
        <v>4</v>
      </c>
    </row>
    <row r="2" spans="1:5" x14ac:dyDescent="0.3">
      <c r="A2" t="s">
        <v>28</v>
      </c>
      <c r="B2" s="7">
        <v>0.82089999999999996</v>
      </c>
      <c r="C2" s="7">
        <v>0.89290000000000003</v>
      </c>
      <c r="D2" s="7">
        <v>0.88890000000000002</v>
      </c>
      <c r="E2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target</vt:lpstr>
      <vt:lpstr>capaian</vt:lpstr>
      <vt:lpstr>ikm</vt:lpstr>
      <vt:lpstr>nps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2025-12-01T07:50:43Z</dcterms:created>
  <dcterms:modified xsi:type="dcterms:W3CDTF">2025-12-10T03:40:48Z</dcterms:modified>
  <cp:category/>
</cp:coreProperties>
</file>