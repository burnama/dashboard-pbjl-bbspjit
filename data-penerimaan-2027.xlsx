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E947F64B-768D-4E65-87D7-D04812DF62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1" l="1"/>
  <c r="B22" i="1" s="1"/>
  <c r="B24" i="1" s="1"/>
  <c r="C16" i="1"/>
  <c r="D16" i="1"/>
  <c r="E16" i="1"/>
  <c r="F16" i="1"/>
  <c r="G16" i="1"/>
  <c r="H16" i="1"/>
  <c r="I16" i="1"/>
  <c r="J16" i="1"/>
  <c r="K16" i="1"/>
  <c r="L16" i="1"/>
  <c r="M16" i="1"/>
  <c r="B16" i="1"/>
</calcChain>
</file>

<file path=xl/sharedStrings.xml><?xml version="1.0" encoding="utf-8"?>
<sst xmlns="http://schemas.openxmlformats.org/spreadsheetml/2006/main" count="55" uniqueCount="28">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</sst>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tabSelected="1" zoomScale="85" zoomScaleNormal="85" workbookViewId="0">
      <selection activeCell="M16" sqref="A1:M16"/>
    </sheetView>
  </sheetViews>
  <sheetFormatPr defaultRowHeight="14.4" x14ac:dyDescent="0.3"/>
  <cols>
    <col min="1" max="1" width="10.109375" bestFit="1" customWidth="1"/>
    <col min="2" max="13" width="17.5546875" bestFit="1" customWidth="1"/>
    <col min="14" max="16" width="11.109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t="s">
        <v>12</v>
      </c>
    </row>
    <row r="2" spans="1:15" x14ac:dyDescent="0.3">
      <c r="A2" s="2" t="s">
        <v>13</v>
      </c>
      <c r="B2" s="2">
        <v>211782520</v>
      </c>
      <c r="C2" s="2">
        <v>217292836</v>
      </c>
      <c r="D2" s="2">
        <v>212147173</v>
      </c>
      <c r="E2" s="2">
        <v>202098949</v>
      </c>
      <c r="F2" s="2">
        <v>199951547</v>
      </c>
      <c r="G2" s="2">
        <v>198047246</v>
      </c>
      <c r="H2" s="2">
        <v>203962733</v>
      </c>
      <c r="I2" s="2">
        <v>208135987</v>
      </c>
      <c r="J2" s="2">
        <v>204813590</v>
      </c>
      <c r="K2" s="2">
        <v>206272203</v>
      </c>
      <c r="L2" s="2">
        <v>212511826</v>
      </c>
      <c r="M2" s="1">
        <v>258499769</v>
      </c>
      <c r="O2" s="1"/>
    </row>
    <row r="3" spans="1:15" x14ac:dyDescent="0.3">
      <c r="A3" s="2" t="s">
        <v>14</v>
      </c>
      <c r="B3" s="2">
        <v>132575874</v>
      </c>
      <c r="C3" s="2">
        <v>136025333</v>
      </c>
      <c r="D3" s="2">
        <v>132804147</v>
      </c>
      <c r="E3" s="2">
        <v>126513959</v>
      </c>
      <c r="F3" s="2">
        <v>125107312</v>
      </c>
      <c r="G3" s="2">
        <v>123865948</v>
      </c>
      <c r="H3" s="2">
        <v>127570714</v>
      </c>
      <c r="I3" s="2">
        <v>130203921</v>
      </c>
      <c r="J3" s="2">
        <v>128140954</v>
      </c>
      <c r="K3" s="2">
        <v>129050679</v>
      </c>
      <c r="L3" s="2">
        <v>132387200</v>
      </c>
      <c r="M3" s="2">
        <v>131057969</v>
      </c>
    </row>
    <row r="4" spans="1:15" x14ac:dyDescent="0.3">
      <c r="A4" s="2" t="s">
        <v>15</v>
      </c>
      <c r="B4" s="2">
        <v>65670900</v>
      </c>
      <c r="C4" s="2">
        <v>67500054</v>
      </c>
      <c r="D4" s="2">
        <v>65737672</v>
      </c>
      <c r="E4" s="2">
        <v>62639665</v>
      </c>
      <c r="F4" s="2">
        <v>61919287</v>
      </c>
      <c r="G4" s="2">
        <v>61339702</v>
      </c>
      <c r="H4" s="2">
        <v>63127648</v>
      </c>
      <c r="I4" s="2">
        <v>64472638</v>
      </c>
      <c r="J4" s="2">
        <v>63427467</v>
      </c>
      <c r="K4" s="2">
        <v>63815527</v>
      </c>
      <c r="L4" s="2">
        <v>65340209</v>
      </c>
      <c r="M4" s="2">
        <v>64689927</v>
      </c>
    </row>
    <row r="5" spans="1:15" x14ac:dyDescent="0.3">
      <c r="A5" s="2" t="s">
        <v>16</v>
      </c>
      <c r="B5" s="2">
        <v>17694240</v>
      </c>
      <c r="C5" s="2">
        <v>18187813</v>
      </c>
      <c r="D5" s="2">
        <v>17756838</v>
      </c>
      <c r="E5" s="2">
        <v>16886643</v>
      </c>
      <c r="F5" s="2">
        <v>16684793</v>
      </c>
      <c r="G5" s="2">
        <v>16525552</v>
      </c>
      <c r="H5" s="2">
        <v>17002268</v>
      </c>
      <c r="I5" s="2">
        <v>17326950</v>
      </c>
      <c r="J5" s="2">
        <v>17124191</v>
      </c>
      <c r="K5" s="2">
        <v>17243847</v>
      </c>
      <c r="L5" s="2">
        <v>17746808</v>
      </c>
      <c r="M5" s="2">
        <v>17555775</v>
      </c>
    </row>
    <row r="6" spans="1:15" x14ac:dyDescent="0.3">
      <c r="A6" s="2" t="s">
        <v>17</v>
      </c>
      <c r="B6" s="2">
        <v>225608183</v>
      </c>
      <c r="C6" s="2">
        <v>231432714</v>
      </c>
      <c r="D6" s="2">
        <v>226002746</v>
      </c>
      <c r="E6" s="2">
        <v>215843019</v>
      </c>
      <c r="F6" s="2">
        <v>213589510</v>
      </c>
      <c r="G6" s="2">
        <v>211639777</v>
      </c>
      <c r="H6" s="2">
        <v>218058197</v>
      </c>
      <c r="I6" s="2">
        <v>222738362</v>
      </c>
      <c r="J6" s="2">
        <v>219178224</v>
      </c>
      <c r="K6" s="2">
        <v>220826585</v>
      </c>
      <c r="L6" s="2">
        <v>227233269</v>
      </c>
      <c r="M6" s="2">
        <v>224825410</v>
      </c>
    </row>
    <row r="7" spans="1:15" x14ac:dyDescent="0.3">
      <c r="A7" s="2" t="s">
        <v>18</v>
      </c>
      <c r="B7" s="2">
        <v>5612050</v>
      </c>
      <c r="C7" s="2">
        <v>5753963</v>
      </c>
      <c r="D7" s="2">
        <v>5619472</v>
      </c>
      <c r="E7" s="2">
        <v>5369103</v>
      </c>
      <c r="F7" s="2">
        <v>5329698</v>
      </c>
      <c r="G7" s="2">
        <v>5285875</v>
      </c>
      <c r="H7" s="2">
        <v>5440096</v>
      </c>
      <c r="I7" s="2">
        <v>5555529</v>
      </c>
      <c r="J7" s="2">
        <v>5473061</v>
      </c>
      <c r="K7" s="2">
        <v>5511843</v>
      </c>
      <c r="L7" s="2">
        <v>5647968</v>
      </c>
      <c r="M7" s="2">
        <v>5583484</v>
      </c>
    </row>
    <row r="8" spans="1:15" x14ac:dyDescent="0.3">
      <c r="A8" s="2" t="s">
        <v>19</v>
      </c>
      <c r="B8" s="2">
        <v>67332032</v>
      </c>
      <c r="C8" s="2">
        <v>69040126</v>
      </c>
      <c r="D8" s="2">
        <v>67221160</v>
      </c>
      <c r="E8" s="2">
        <v>64027643</v>
      </c>
      <c r="F8" s="2">
        <v>63288771</v>
      </c>
      <c r="G8" s="2">
        <v>62713218</v>
      </c>
      <c r="H8" s="2">
        <v>64418787</v>
      </c>
      <c r="I8" s="2">
        <v>65745828</v>
      </c>
      <c r="J8" s="2">
        <v>64678130</v>
      </c>
      <c r="K8" s="2">
        <v>65021519</v>
      </c>
      <c r="L8" s="2">
        <v>66556829</v>
      </c>
      <c r="M8" s="2">
        <v>66019057</v>
      </c>
    </row>
    <row r="9" spans="1:15" x14ac:dyDescent="0.3">
      <c r="A9" s="2" t="s">
        <v>20</v>
      </c>
      <c r="B9" s="2">
        <v>38224134</v>
      </c>
      <c r="C9" s="2">
        <v>39159561</v>
      </c>
      <c r="D9" s="2">
        <v>38136252</v>
      </c>
      <c r="E9" s="2">
        <v>36327991</v>
      </c>
      <c r="F9" s="2">
        <v>35876830</v>
      </c>
      <c r="G9" s="2">
        <v>35553157</v>
      </c>
      <c r="H9" s="2">
        <v>36508613</v>
      </c>
      <c r="I9" s="2">
        <v>37262568</v>
      </c>
      <c r="J9" s="2">
        <v>36682766</v>
      </c>
      <c r="K9" s="2">
        <v>36847434</v>
      </c>
      <c r="L9" s="2">
        <v>37715956</v>
      </c>
      <c r="M9" s="2">
        <v>37435308</v>
      </c>
    </row>
    <row r="10" spans="1:15" x14ac:dyDescent="0.3">
      <c r="A10" s="2" t="s">
        <v>21</v>
      </c>
      <c r="B10" s="2">
        <v>96130800</v>
      </c>
      <c r="C10" s="2">
        <v>98623194</v>
      </c>
      <c r="D10" s="2">
        <v>96575721</v>
      </c>
      <c r="E10" s="2">
        <v>92045767</v>
      </c>
      <c r="F10" s="2">
        <v>91004323</v>
      </c>
      <c r="G10" s="2">
        <v>90157238</v>
      </c>
      <c r="H10" s="2">
        <v>92170170</v>
      </c>
      <c r="I10" s="2">
        <v>94285875</v>
      </c>
      <c r="J10" s="2">
        <v>92182818</v>
      </c>
      <c r="K10" s="2">
        <v>92713099</v>
      </c>
      <c r="L10" s="2">
        <v>95363831</v>
      </c>
      <c r="M10" s="2">
        <v>94314463</v>
      </c>
    </row>
    <row r="11" spans="1:15" x14ac:dyDescent="0.3">
      <c r="A11" s="2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5" x14ac:dyDescent="0.3">
      <c r="A12" s="2" t="s">
        <v>23</v>
      </c>
      <c r="B12" s="2">
        <v>12682255</v>
      </c>
      <c r="C12" s="2">
        <v>13005432</v>
      </c>
      <c r="D12" s="2">
        <v>12731930</v>
      </c>
      <c r="E12" s="2">
        <v>12127848</v>
      </c>
      <c r="F12" s="2">
        <v>11981141</v>
      </c>
      <c r="G12" s="2">
        <v>11867452</v>
      </c>
      <c r="H12" s="2">
        <v>12238663</v>
      </c>
      <c r="I12" s="2">
        <v>12503477</v>
      </c>
      <c r="J12" s="2">
        <v>12311961</v>
      </c>
      <c r="K12" s="2">
        <v>12396625</v>
      </c>
      <c r="L12" s="2">
        <v>12709611</v>
      </c>
      <c r="M12" s="2">
        <v>12584977</v>
      </c>
    </row>
    <row r="13" spans="1:15" x14ac:dyDescent="0.3">
      <c r="A13" s="2" t="s">
        <v>24</v>
      </c>
      <c r="B13" s="2">
        <v>5320078</v>
      </c>
      <c r="C13" s="2">
        <v>5461538</v>
      </c>
      <c r="D13" s="2">
        <v>5347560</v>
      </c>
      <c r="E13" s="2">
        <v>5107020</v>
      </c>
      <c r="F13" s="2">
        <v>5040091</v>
      </c>
      <c r="G13" s="2">
        <v>4989448</v>
      </c>
      <c r="H13" s="2">
        <v>5143696</v>
      </c>
      <c r="I13" s="2">
        <v>5246898</v>
      </c>
      <c r="J13" s="2">
        <v>5166384</v>
      </c>
      <c r="K13" s="2">
        <v>5199674</v>
      </c>
      <c r="L13" s="2">
        <v>5328313</v>
      </c>
      <c r="M13" s="2">
        <v>5272120</v>
      </c>
    </row>
    <row r="14" spans="1:15" x14ac:dyDescent="0.3">
      <c r="A14" s="2" t="s">
        <v>25</v>
      </c>
      <c r="B14" s="2">
        <v>33473333</v>
      </c>
      <c r="C14" s="2">
        <v>34338266</v>
      </c>
      <c r="D14" s="2">
        <v>33622322</v>
      </c>
      <c r="E14" s="2">
        <v>31993882</v>
      </c>
      <c r="F14" s="2">
        <v>31558151</v>
      </c>
      <c r="G14" s="2">
        <v>31246695</v>
      </c>
      <c r="H14" s="2">
        <v>32174428</v>
      </c>
      <c r="I14" s="2">
        <v>32941545</v>
      </c>
      <c r="J14" s="2">
        <v>32430234</v>
      </c>
      <c r="K14" s="2">
        <v>32617290</v>
      </c>
      <c r="L14" s="2">
        <v>33611029</v>
      </c>
      <c r="M14" s="2">
        <v>33268722</v>
      </c>
    </row>
    <row r="15" spans="1:15" x14ac:dyDescent="0.3">
      <c r="A15" s="2" t="s">
        <v>26</v>
      </c>
      <c r="B15" s="2">
        <v>2554366</v>
      </c>
      <c r="C15" s="2">
        <v>2620828</v>
      </c>
      <c r="D15" s="2">
        <v>2558765</v>
      </c>
      <c r="E15" s="2">
        <v>2437570</v>
      </c>
      <c r="F15" s="2">
        <v>2411670</v>
      </c>
      <c r="G15" s="2">
        <v>2388702</v>
      </c>
      <c r="H15" s="2">
        <v>2460050</v>
      </c>
      <c r="I15" s="2">
        <v>2510385</v>
      </c>
      <c r="J15" s="2">
        <v>2470312</v>
      </c>
      <c r="K15" s="2">
        <v>2487905</v>
      </c>
      <c r="L15" s="2">
        <v>2563163</v>
      </c>
      <c r="M15" s="2">
        <v>2536285</v>
      </c>
    </row>
    <row r="16" spans="1:15" x14ac:dyDescent="0.3">
      <c r="A16" s="2" t="s">
        <v>27</v>
      </c>
      <c r="B16" s="2">
        <f>SUM(B2:B15)</f>
        <v>914660765</v>
      </c>
      <c r="C16" s="2">
        <f t="shared" ref="C16:L16" si="0">SUM(C2:C15)</f>
        <v>938441658</v>
      </c>
      <c r="D16" s="2">
        <f t="shared" si="0"/>
        <v>916261758</v>
      </c>
      <c r="E16" s="2">
        <f t="shared" si="0"/>
        <v>873419059</v>
      </c>
      <c r="F16" s="2">
        <f t="shared" si="0"/>
        <v>863743124</v>
      </c>
      <c r="G16" s="2">
        <f t="shared" si="0"/>
        <v>855620010</v>
      </c>
      <c r="H16" s="2">
        <f t="shared" si="0"/>
        <v>880276063</v>
      </c>
      <c r="I16" s="2">
        <f t="shared" si="0"/>
        <v>898929963</v>
      </c>
      <c r="J16" s="2">
        <f t="shared" si="0"/>
        <v>884080092</v>
      </c>
      <c r="K16" s="2">
        <f t="shared" si="0"/>
        <v>890004230</v>
      </c>
      <c r="L16" s="2">
        <f t="shared" si="0"/>
        <v>914716012</v>
      </c>
      <c r="M16" s="2">
        <f>SUM(M2:M15)</f>
        <v>953643266</v>
      </c>
    </row>
    <row r="18" spans="2:13" x14ac:dyDescent="0.3">
      <c r="B18" s="2"/>
    </row>
    <row r="19" spans="2:13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2:13" x14ac:dyDescent="0.3">
      <c r="B20" s="1">
        <v>10783796000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2:13" x14ac:dyDescent="0.3">
      <c r="B21" s="1">
        <f>SUM(B16:M16)</f>
        <v>10783796000</v>
      </c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2:13" x14ac:dyDescent="0.3">
      <c r="B22" s="1">
        <f>B20-B21</f>
        <v>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2:13" x14ac:dyDescent="0.3">
      <c r="B23" s="1">
        <v>210283390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2:13" x14ac:dyDescent="0.3">
      <c r="B24" s="1">
        <f>B22+B23</f>
        <v>210283390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2:13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2:13" x14ac:dyDescent="0.3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2:13" x14ac:dyDescent="0.3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9" spans="2:13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2:13" x14ac:dyDescent="0.3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2:13" x14ac:dyDescent="0.3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2:13" x14ac:dyDescent="0.3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zoomScale="74" zoomScaleNormal="100" workbookViewId="0">
      <selection activeCell="B2" sqref="B2:N16"/>
    </sheetView>
  </sheetViews>
  <sheetFormatPr defaultRowHeight="14.4" x14ac:dyDescent="0.3"/>
  <cols>
    <col min="1" max="1" width="10.109375" bestFit="1" customWidth="1"/>
    <col min="2" max="12" width="17.5546875" bestFit="1" customWidth="1"/>
    <col min="13" max="13" width="8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3">
      <c r="A3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x14ac:dyDescent="0.3">
      <c r="A4" t="s">
        <v>15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x14ac:dyDescent="0.3">
      <c r="A5" t="s">
        <v>16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x14ac:dyDescent="0.3">
      <c r="A6" t="s">
        <v>17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</row>
    <row r="7" spans="1:13" x14ac:dyDescent="0.3">
      <c r="A7" t="s">
        <v>18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3" x14ac:dyDescent="0.3">
      <c r="A8" t="s">
        <v>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x14ac:dyDescent="0.3">
      <c r="A9" t="s">
        <v>20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3" x14ac:dyDescent="0.3">
      <c r="A10" t="s">
        <v>21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3" x14ac:dyDescent="0.3">
      <c r="A11" t="s">
        <v>22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x14ac:dyDescent="0.3">
      <c r="A12" t="s">
        <v>23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3" x14ac:dyDescent="0.3">
      <c r="A13" t="s">
        <v>24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3" x14ac:dyDescent="0.3">
      <c r="A14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3" x14ac:dyDescent="0.3">
      <c r="A15" t="s">
        <v>26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3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2025-12-01T07:50:43Z</dcterms:created>
  <dcterms:modified xsi:type="dcterms:W3CDTF">2025-12-08T07:16:54Z</dcterms:modified>
  <cp:category/>
</cp:coreProperties>
</file>