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4C4CE5EF-FA46-4474-B30B-F1E119BA760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rget" sheetId="1" r:id="rId1"/>
    <sheet name="capaian" sheetId="2" r:id="rId2"/>
  </sheet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2" l="1"/>
  <c r="D16" i="2"/>
  <c r="E16" i="2"/>
  <c r="F16" i="2"/>
  <c r="G16" i="2"/>
  <c r="H16" i="2"/>
  <c r="I16" i="2"/>
  <c r="J16" i="2"/>
  <c r="K16" i="2"/>
  <c r="L16" i="2"/>
  <c r="M16" i="2"/>
  <c r="B16" i="2"/>
  <c r="C16" i="1"/>
  <c r="D16" i="1"/>
  <c r="E16" i="1"/>
  <c r="F16" i="1"/>
  <c r="G16" i="1"/>
  <c r="H16" i="1"/>
  <c r="I16" i="1"/>
  <c r="J16" i="1"/>
  <c r="K16" i="1"/>
  <c r="L16" i="1"/>
  <c r="M16" i="1"/>
  <c r="B16" i="1"/>
</calcChain>
</file>

<file path=xl/sharedStrings.xml><?xml version="1.0" encoding="utf-8"?>
<sst xmlns="http://schemas.openxmlformats.org/spreadsheetml/2006/main" count="54" uniqueCount="27">
  <si>
    <t>layanan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</si>
  <si>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</si>
  <si>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</si>
  <si>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</si>
  <si>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</si>
  <si>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</si>
  <si>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</si>
  <si>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</si>
  <si>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</si>
  <si>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</si>
  <si>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</si>
  <si>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</si>
  <si>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</si>
  <si>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pengujian</t>
  </si>
  <si>
    <t>lingkungan</t>
  </si>
  <si>
    <t>kalibrasi</t>
  </si>
  <si>
    <t>masker</t>
  </si>
  <si>
    <t>sertifikasi</t>
  </si>
  <si>
    <t>inspeksi</t>
  </si>
  <si>
    <t>konsultansi</t>
  </si>
  <si>
    <t>bimteks</t>
  </si>
  <si>
    <t>opti</t>
  </si>
  <si>
    <t>uji_profi</t>
  </si>
  <si>
    <t>verifikasi</t>
  </si>
  <si>
    <t>lph</t>
  </si>
  <si>
    <t>aset</t>
  </si>
  <si>
    <t>bagi_hasil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</si>
</sst>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&quot;Rp&quot;#,##0.00"/>
    <numFmt numFmtId="171" formatCode="&quot;Rp&quot;#,##0"/>
  </numFmts>
  <fonts count="3" x14ac:knownFonts="1">
    <font>
      <sz val="11"/>
      <color theme="1"/>
      <name val="Calibri"/>
      <family val="2"/>
      <scheme val="minor"/>
    </font>
    <font>
      <sz val="7"/>
      <color theme="1"/>
      <name val="Century Gothic"/>
      <family val="2"/>
    </font>
    <font>
      <sz val="7"/>
      <color rgb="FF212529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EE2E6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171" fontId="1" fillId="0" borderId="0" xfId="0" applyNumberFormat="1" applyFont="1"/>
    <xf numFmtId="171" fontId="2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opLeftCell="C1" zoomScaleNormal="100" workbookViewId="0">
      <selection activeCell="B2" sqref="B2:M16"/>
    </sheetView>
  </sheetViews>
  <sheetFormatPr defaultRowHeight="14.4" x14ac:dyDescent="0.3"/>
  <cols>
    <col min="1" max="1" width="13.21875" customWidth="1"/>
    <col min="2" max="2" width="19.33203125" customWidth="1"/>
    <col min="3" max="3" width="18.77734375" customWidth="1"/>
    <col min="4" max="4" width="18.33203125" bestFit="1" customWidth="1"/>
    <col min="5" max="5" width="18.109375" customWidth="1"/>
    <col min="6" max="6" width="18.44140625" customWidth="1"/>
    <col min="7" max="8" width="18" customWidth="1"/>
    <col min="9" max="9" width="17.88671875" customWidth="1"/>
    <col min="10" max="10" width="18.5546875" customWidth="1"/>
    <col min="11" max="11" width="18.21875" customWidth="1"/>
    <col min="12" max="12" width="18.44140625" customWidth="1"/>
    <col min="13" max="13" width="18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2">
        <v>164062500</v>
      </c>
      <c r="C2" s="2">
        <v>164062500</v>
      </c>
      <c r="D2" s="2">
        <v>175000000</v>
      </c>
      <c r="E2" s="2">
        <v>185937500</v>
      </c>
      <c r="F2" s="2">
        <v>196875000</v>
      </c>
      <c r="G2" s="2">
        <v>207812500</v>
      </c>
      <c r="H2" s="2">
        <v>196875000</v>
      </c>
      <c r="I2" s="2">
        <v>185937500</v>
      </c>
      <c r="J2" s="2">
        <v>175000000</v>
      </c>
      <c r="K2" s="2">
        <v>164062500</v>
      </c>
      <c r="L2" s="2">
        <v>142187500</v>
      </c>
      <c r="M2" s="2">
        <v>142187524</v>
      </c>
    </row>
    <row r="3" spans="1:13" x14ac:dyDescent="0.3">
      <c r="A3" t="s">
        <v>14</v>
      </c>
      <c r="B3" s="2">
        <v>54687500</v>
      </c>
      <c r="C3" s="2">
        <v>54687500</v>
      </c>
      <c r="D3" s="2">
        <v>58333333</v>
      </c>
      <c r="E3" s="2">
        <v>61979166</v>
      </c>
      <c r="F3" s="2">
        <v>65625000</v>
      </c>
      <c r="G3" s="2">
        <v>69270833</v>
      </c>
      <c r="H3" s="2">
        <v>65625000</v>
      </c>
      <c r="I3" s="2">
        <v>61979166</v>
      </c>
      <c r="J3" s="2">
        <v>58333333</v>
      </c>
      <c r="K3" s="2">
        <v>54687500</v>
      </c>
      <c r="L3" s="2">
        <v>47395833</v>
      </c>
      <c r="M3" s="2">
        <v>47395833</v>
      </c>
    </row>
    <row r="4" spans="1:13" x14ac:dyDescent="0.3">
      <c r="A4" t="s">
        <v>15</v>
      </c>
      <c r="B4" s="2">
        <v>39062500</v>
      </c>
      <c r="C4" s="2">
        <v>39062500</v>
      </c>
      <c r="D4" s="2">
        <v>41666666</v>
      </c>
      <c r="E4" s="2">
        <v>44270833</v>
      </c>
      <c r="F4" s="2">
        <v>46875000</v>
      </c>
      <c r="G4" s="2">
        <v>49479166</v>
      </c>
      <c r="H4" s="2">
        <v>46875000</v>
      </c>
      <c r="I4" s="2">
        <v>44270833</v>
      </c>
      <c r="J4" s="2">
        <v>41666666</v>
      </c>
      <c r="K4" s="2">
        <v>39062500</v>
      </c>
      <c r="L4" s="2">
        <v>33854166</v>
      </c>
      <c r="M4" s="2">
        <v>33854166</v>
      </c>
    </row>
    <row r="5" spans="1:13" x14ac:dyDescent="0.3">
      <c r="A5" t="s">
        <v>16</v>
      </c>
      <c r="B5" s="2">
        <v>42578125</v>
      </c>
      <c r="C5" s="2">
        <v>42578125</v>
      </c>
      <c r="D5" s="2">
        <v>45416666</v>
      </c>
      <c r="E5" s="2">
        <v>48255208</v>
      </c>
      <c r="F5" s="2">
        <v>51093750</v>
      </c>
      <c r="G5" s="2">
        <v>53932291</v>
      </c>
      <c r="H5" s="2">
        <v>51093750</v>
      </c>
      <c r="I5" s="2">
        <v>48255208</v>
      </c>
      <c r="J5" s="2">
        <v>45416666</v>
      </c>
      <c r="K5" s="2">
        <v>42578125</v>
      </c>
      <c r="L5" s="2">
        <v>36901041</v>
      </c>
      <c r="M5" s="2">
        <v>36901041</v>
      </c>
    </row>
    <row r="6" spans="1:13" x14ac:dyDescent="0.3">
      <c r="A6" t="s">
        <v>17</v>
      </c>
      <c r="B6" s="2">
        <v>85937500</v>
      </c>
      <c r="C6" s="2">
        <v>85937500</v>
      </c>
      <c r="D6" s="2">
        <v>91666666</v>
      </c>
      <c r="E6" s="2">
        <v>97395833</v>
      </c>
      <c r="F6" s="2">
        <v>103125000</v>
      </c>
      <c r="G6" s="2">
        <v>108854166</v>
      </c>
      <c r="H6" s="2">
        <v>103125000</v>
      </c>
      <c r="I6" s="2">
        <v>97395833</v>
      </c>
      <c r="J6" s="2">
        <v>91666666</v>
      </c>
      <c r="K6" s="2">
        <v>85937500</v>
      </c>
      <c r="L6" s="2">
        <v>74479166</v>
      </c>
      <c r="M6" s="2">
        <v>74479166</v>
      </c>
    </row>
    <row r="7" spans="1:13" x14ac:dyDescent="0.3">
      <c r="A7" t="s">
        <v>18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3">
      <c r="A8" t="s">
        <v>19</v>
      </c>
      <c r="B8" s="2">
        <v>31250000</v>
      </c>
      <c r="C8" s="2">
        <v>31250000</v>
      </c>
      <c r="D8" s="2">
        <v>33333333</v>
      </c>
      <c r="E8" s="2">
        <v>35416666</v>
      </c>
      <c r="F8" s="2">
        <v>37500000</v>
      </c>
      <c r="G8" s="2">
        <v>39583333</v>
      </c>
      <c r="H8" s="2">
        <v>37500000</v>
      </c>
      <c r="I8" s="2">
        <v>35416666</v>
      </c>
      <c r="J8" s="2">
        <v>33333333</v>
      </c>
      <c r="K8" s="2">
        <v>31250000</v>
      </c>
      <c r="L8" s="2">
        <v>27083333</v>
      </c>
      <c r="M8" s="2">
        <v>27083333</v>
      </c>
    </row>
    <row r="9" spans="1:13" x14ac:dyDescent="0.3">
      <c r="A9" t="s">
        <v>20</v>
      </c>
      <c r="B9" s="2">
        <v>6640625</v>
      </c>
      <c r="C9" s="2">
        <v>6640625</v>
      </c>
      <c r="D9" s="2">
        <v>7083333</v>
      </c>
      <c r="E9" s="2">
        <v>7526041</v>
      </c>
      <c r="F9" s="2">
        <v>7968750</v>
      </c>
      <c r="G9" s="2">
        <v>8411458</v>
      </c>
      <c r="H9" s="2">
        <v>7968750</v>
      </c>
      <c r="I9" s="2">
        <v>7526041</v>
      </c>
      <c r="J9" s="2">
        <v>7083333</v>
      </c>
      <c r="K9" s="2">
        <v>6640625</v>
      </c>
      <c r="L9" s="2">
        <v>5755208</v>
      </c>
      <c r="M9" s="2">
        <v>5755208</v>
      </c>
    </row>
    <row r="10" spans="1:13" x14ac:dyDescent="0.3">
      <c r="A10" t="s">
        <v>21</v>
      </c>
      <c r="B10" s="2">
        <v>5468750</v>
      </c>
      <c r="C10" s="2">
        <v>5468750</v>
      </c>
      <c r="D10" s="2">
        <v>5833333</v>
      </c>
      <c r="E10" s="2">
        <v>6197916</v>
      </c>
      <c r="F10" s="2">
        <v>6562500</v>
      </c>
      <c r="G10" s="2">
        <v>6927083</v>
      </c>
      <c r="H10" s="2">
        <v>6562500</v>
      </c>
      <c r="I10" s="2">
        <v>6197916</v>
      </c>
      <c r="J10" s="2">
        <v>5833333</v>
      </c>
      <c r="K10" s="2">
        <v>5468750</v>
      </c>
      <c r="L10" s="2">
        <v>4739583</v>
      </c>
      <c r="M10" s="2">
        <v>4739583</v>
      </c>
    </row>
    <row r="11" spans="1:13" x14ac:dyDescent="0.3">
      <c r="A11" t="s">
        <v>22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3">
      <c r="A12" t="s">
        <v>23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3">
      <c r="A13" t="s">
        <v>24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3">
      <c r="A14" t="s">
        <v>25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3">
      <c r="A15" t="s">
        <v>26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3">
      <c r="B16" s="2">
        <f>SUM(B2:B15)</f>
        <v>429687500</v>
      </c>
      <c r="C16" s="2">
        <f t="shared" ref="C16:M16" si="0">SUM(C2:C15)</f>
        <v>429687500</v>
      </c>
      <c r="D16" s="2">
        <f t="shared" si="0"/>
        <v>458333330</v>
      </c>
      <c r="E16" s="2">
        <f t="shared" si="0"/>
        <v>486979163</v>
      </c>
      <c r="F16" s="2">
        <f t="shared" si="0"/>
        <v>515625000</v>
      </c>
      <c r="G16" s="2">
        <f t="shared" si="0"/>
        <v>544270830</v>
      </c>
      <c r="H16" s="2">
        <f t="shared" si="0"/>
        <v>515625000</v>
      </c>
      <c r="I16" s="2">
        <f t="shared" si="0"/>
        <v>486979163</v>
      </c>
      <c r="J16" s="2">
        <f t="shared" si="0"/>
        <v>458333330</v>
      </c>
      <c r="K16" s="2">
        <f t="shared" si="0"/>
        <v>429687500</v>
      </c>
      <c r="L16" s="2">
        <f t="shared" si="0"/>
        <v>372395830</v>
      </c>
      <c r="M16" s="2">
        <f t="shared" si="0"/>
        <v>372395854</v>
      </c>
    </row>
    <row r="18" spans="12:12" x14ac:dyDescent="0.3">
      <c r="L18" s="1"/>
    </row>
    <row r="19" spans="12:12" x14ac:dyDescent="0.3">
      <c r="L19" s="1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tabSelected="1" topLeftCell="H1" workbookViewId="0">
      <selection activeCell="M16" sqref="B2:M16"/>
    </sheetView>
  </sheetViews>
  <sheetFormatPr defaultRowHeight="14.4" x14ac:dyDescent="0.3"/>
  <cols>
    <col min="2" max="2" width="19.77734375" customWidth="1"/>
    <col min="3" max="3" width="19.21875" customWidth="1"/>
    <col min="4" max="4" width="18" customWidth="1"/>
    <col min="5" max="5" width="18.21875" customWidth="1"/>
    <col min="6" max="6" width="17.77734375" customWidth="1"/>
    <col min="7" max="8" width="17.6640625" customWidth="1"/>
    <col min="9" max="9" width="18" customWidth="1"/>
    <col min="10" max="11" width="18.77734375" customWidth="1"/>
    <col min="12" max="12" width="18.33203125" customWidth="1"/>
    <col min="13" max="13" width="15.77734375" bestFit="1" customWidth="1"/>
  </cols>
  <sheetData>
    <row r="1" spans="1:13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 thickBot="1" x14ac:dyDescent="0.35">
      <c r="A2" t="s">
        <v>13</v>
      </c>
      <c r="B2" s="3">
        <v>157085000</v>
      </c>
      <c r="C2" s="3">
        <v>186365000</v>
      </c>
      <c r="D2" s="3">
        <v>201353000</v>
      </c>
      <c r="E2" s="3">
        <v>48885000</v>
      </c>
      <c r="F2" s="3">
        <v>173828750</v>
      </c>
      <c r="G2" s="3">
        <v>165157250</v>
      </c>
      <c r="H2" s="3">
        <v>161965250</v>
      </c>
      <c r="I2" s="3">
        <v>178974250</v>
      </c>
      <c r="J2" s="3">
        <v>184982500</v>
      </c>
      <c r="K2" s="3">
        <v>115178250</v>
      </c>
      <c r="L2" s="3">
        <v>227561250</v>
      </c>
      <c r="M2" s="3">
        <v>88678500</v>
      </c>
    </row>
    <row r="3" spans="1:13" ht="15" thickBot="1" x14ac:dyDescent="0.35">
      <c r="A3" t="s">
        <v>14</v>
      </c>
      <c r="B3" s="3">
        <v>73850000</v>
      </c>
      <c r="C3" s="3">
        <v>111450000</v>
      </c>
      <c r="D3" s="3">
        <v>66650000</v>
      </c>
      <c r="E3" s="3">
        <v>0</v>
      </c>
      <c r="F3" s="3">
        <v>48950000</v>
      </c>
      <c r="G3" s="3">
        <v>131600000</v>
      </c>
      <c r="H3" s="3">
        <v>89950000</v>
      </c>
      <c r="I3" s="3">
        <v>131725000</v>
      </c>
      <c r="J3" s="3">
        <v>81450000</v>
      </c>
      <c r="K3" s="3">
        <v>75987500</v>
      </c>
      <c r="L3" s="3">
        <v>145862500</v>
      </c>
      <c r="M3" s="3">
        <v>92600000</v>
      </c>
    </row>
    <row r="4" spans="1:13" ht="15" thickBot="1" x14ac:dyDescent="0.35">
      <c r="A4" t="s">
        <v>15</v>
      </c>
      <c r="B4" s="3">
        <v>26100000</v>
      </c>
      <c r="C4" s="3">
        <v>55602000</v>
      </c>
      <c r="D4" s="3">
        <v>54479000</v>
      </c>
      <c r="E4" s="3">
        <v>12455000</v>
      </c>
      <c r="F4" s="3">
        <v>24055000</v>
      </c>
      <c r="G4" s="3">
        <v>8805000</v>
      </c>
      <c r="H4" s="3">
        <v>10330000</v>
      </c>
      <c r="I4" s="3">
        <v>13025000</v>
      </c>
      <c r="J4" s="3">
        <v>135455000</v>
      </c>
      <c r="K4" s="3">
        <v>93070000</v>
      </c>
      <c r="L4" s="3">
        <v>58863000</v>
      </c>
      <c r="M4" s="3">
        <v>7097500</v>
      </c>
    </row>
    <row r="5" spans="1:13" ht="15" thickBot="1" x14ac:dyDescent="0.35">
      <c r="A5" t="s">
        <v>16</v>
      </c>
      <c r="B5" s="3">
        <v>32700000</v>
      </c>
      <c r="C5" s="3">
        <v>42300000</v>
      </c>
      <c r="D5" s="3">
        <v>105850000</v>
      </c>
      <c r="E5" s="3">
        <v>19900000</v>
      </c>
      <c r="F5" s="3">
        <v>36300000</v>
      </c>
      <c r="G5" s="3">
        <v>0</v>
      </c>
      <c r="H5" s="3">
        <v>4850000</v>
      </c>
      <c r="I5" s="3">
        <v>4850000</v>
      </c>
      <c r="J5" s="3">
        <v>5250000</v>
      </c>
      <c r="K5" s="3">
        <v>6750000</v>
      </c>
      <c r="L5" s="3">
        <v>27500000</v>
      </c>
      <c r="M5" s="3">
        <v>28850000</v>
      </c>
    </row>
    <row r="6" spans="1:13" ht="15" thickBot="1" x14ac:dyDescent="0.35">
      <c r="A6" t="s">
        <v>17</v>
      </c>
      <c r="B6" s="3">
        <v>85550000</v>
      </c>
      <c r="C6" s="3">
        <v>110800000</v>
      </c>
      <c r="D6" s="3">
        <v>61100000</v>
      </c>
      <c r="E6" s="3">
        <v>24500000</v>
      </c>
      <c r="F6" s="3">
        <v>60400000</v>
      </c>
      <c r="G6" s="3">
        <v>133500000</v>
      </c>
      <c r="H6" s="3">
        <v>115200000</v>
      </c>
      <c r="I6" s="3">
        <v>137750000</v>
      </c>
      <c r="J6" s="3">
        <v>98850000</v>
      </c>
      <c r="K6" s="3">
        <v>129000000</v>
      </c>
      <c r="L6" s="3">
        <v>140650000</v>
      </c>
      <c r="M6" s="3">
        <v>118050000</v>
      </c>
    </row>
    <row r="7" spans="1:13" ht="15" thickBot="1" x14ac:dyDescent="0.35">
      <c r="A7" t="s">
        <v>18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 ht="15" thickBot="1" x14ac:dyDescent="0.35">
      <c r="A8" t="s">
        <v>19</v>
      </c>
      <c r="B8" s="3">
        <v>34213000</v>
      </c>
      <c r="C8" s="3">
        <v>28125000</v>
      </c>
      <c r="D8" s="3">
        <v>48000000</v>
      </c>
      <c r="E8" s="3">
        <v>46500000</v>
      </c>
      <c r="F8" s="3">
        <v>51000000</v>
      </c>
      <c r="G8" s="3">
        <v>66000000</v>
      </c>
      <c r="H8" s="3">
        <v>45000000</v>
      </c>
      <c r="I8" s="3">
        <v>64500000</v>
      </c>
      <c r="J8" s="3">
        <v>6000000</v>
      </c>
      <c r="K8" s="3">
        <v>0</v>
      </c>
      <c r="L8" s="3">
        <v>66000000</v>
      </c>
      <c r="M8" s="3">
        <v>237000000</v>
      </c>
    </row>
    <row r="9" spans="1:13" ht="15" thickBot="1" x14ac:dyDescent="0.35">
      <c r="A9" t="s">
        <v>20</v>
      </c>
      <c r="B9" s="3">
        <v>13920000</v>
      </c>
      <c r="C9" s="3">
        <v>25000000</v>
      </c>
      <c r="D9" s="3">
        <v>0</v>
      </c>
      <c r="E9" s="3">
        <v>19680000</v>
      </c>
      <c r="F9" s="3">
        <v>36600000</v>
      </c>
      <c r="G9" s="3">
        <v>17500000</v>
      </c>
      <c r="H9" s="3">
        <v>960000</v>
      </c>
      <c r="I9" s="3">
        <v>1000000</v>
      </c>
      <c r="J9" s="3">
        <v>0</v>
      </c>
      <c r="K9" s="3">
        <v>51000000</v>
      </c>
      <c r="L9" s="3">
        <v>45000000</v>
      </c>
      <c r="M9" s="3">
        <v>0</v>
      </c>
    </row>
    <row r="10" spans="1:13" ht="15" thickBot="1" x14ac:dyDescent="0.35">
      <c r="A10" t="s">
        <v>21</v>
      </c>
      <c r="B10" s="3">
        <v>0</v>
      </c>
      <c r="C10" s="3">
        <v>6520000</v>
      </c>
      <c r="D10" s="3">
        <v>0</v>
      </c>
      <c r="E10" s="3">
        <v>0</v>
      </c>
      <c r="F10" s="3">
        <v>0</v>
      </c>
      <c r="G10" s="3">
        <v>5625000</v>
      </c>
      <c r="H10" s="3">
        <v>3000000</v>
      </c>
      <c r="I10" s="3">
        <v>10360000</v>
      </c>
      <c r="J10" s="3">
        <v>15200000</v>
      </c>
      <c r="K10" s="3">
        <v>10215000</v>
      </c>
      <c r="L10" s="3">
        <v>48940000</v>
      </c>
      <c r="M10" s="3">
        <v>0</v>
      </c>
    </row>
    <row r="11" spans="1:13" ht="15" thickBot="1" x14ac:dyDescent="0.35">
      <c r="A11" t="s">
        <v>22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</row>
    <row r="12" spans="1:13" ht="15" thickBot="1" x14ac:dyDescent="0.35">
      <c r="A12" t="s">
        <v>23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 ht="15" thickBot="1" x14ac:dyDescent="0.35">
      <c r="A13" t="s">
        <v>24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ht="15" thickBot="1" x14ac:dyDescent="0.35">
      <c r="A14" t="s">
        <v>25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3">
      <c r="A15" t="s">
        <v>26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3">
      <c r="B16" s="2">
        <f>SUM(B2:B15)</f>
        <v>423418000</v>
      </c>
      <c r="C16" s="2">
        <f t="shared" ref="C16:M16" si="0">SUM(C2:C15)</f>
        <v>566162000</v>
      </c>
      <c r="D16" s="2">
        <f t="shared" si="0"/>
        <v>537432000</v>
      </c>
      <c r="E16" s="2">
        <f t="shared" si="0"/>
        <v>171920000</v>
      </c>
      <c r="F16" s="2">
        <f t="shared" si="0"/>
        <v>431133750</v>
      </c>
      <c r="G16" s="2">
        <f t="shared" si="0"/>
        <v>528187250</v>
      </c>
      <c r="H16" s="2">
        <f t="shared" si="0"/>
        <v>431255250</v>
      </c>
      <c r="I16" s="2">
        <f t="shared" si="0"/>
        <v>542184250</v>
      </c>
      <c r="J16" s="2">
        <f t="shared" si="0"/>
        <v>527187500</v>
      </c>
      <c r="K16" s="2">
        <f t="shared" si="0"/>
        <v>481200750</v>
      </c>
      <c r="L16" s="2">
        <f t="shared" si="0"/>
        <v>760376750</v>
      </c>
      <c r="M16" s="2">
        <f t="shared" si="0"/>
        <v>572276000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</vt:lpstr>
      <vt:lpstr>capaian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2025-12-01T07:52:04Z</dcterms:created>
  <dcterms:modified xsi:type="dcterms:W3CDTF">2025-12-08T02:34:10Z</dcterms:modified>
  <cp:category/>
</cp:coreProperties>
</file>