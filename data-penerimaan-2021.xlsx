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D792BF4E-30AB-4BD8-AF6E-C4FB9DBD9F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rget" sheetId="1" r:id="rId1"/>
    <sheet name="capaian" sheetId="2" r:id="rId2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C16" i="2"/>
  <c r="D16" i="2"/>
  <c r="E16" i="2"/>
  <c r="F16" i="2"/>
  <c r="G16" i="2"/>
  <c r="H16" i="2"/>
  <c r="I16" i="2"/>
  <c r="J16" i="2"/>
  <c r="K16" i="2"/>
  <c r="L16" i="2"/>
  <c r="M16" i="2"/>
  <c r="C16" i="1"/>
  <c r="D16" i="1"/>
  <c r="E16" i="1"/>
  <c r="F16" i="1"/>
  <c r="G16" i="1"/>
  <c r="H16" i="1"/>
  <c r="I16" i="1"/>
  <c r="J16" i="1"/>
  <c r="K16" i="1"/>
  <c r="L16" i="1"/>
  <c r="M16" i="1"/>
  <c r="B16" i="1"/>
</calcChain>
</file>

<file path=xl/sharedStrings.xml><?xml version="1.0" encoding="utf-8"?>
<sst xmlns="http://schemas.openxmlformats.org/spreadsheetml/2006/main" count="56" uniqueCount="28">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</sst>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[$Rp-421]* #,##0_-;\-[$Rp-421]* #,##0_-;_-[$Rp-421]* &quot;-&quot;??_-;_-@_-"/>
    <numFmt numFmtId="173" formatCode="&quot;Rp&quot;#,##0"/>
  </numFmts>
  <fonts count="2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73" fontId="0" fillId="0" borderId="0" xfId="0" applyNumberFormat="1"/>
    <xf numFmtId="173" fontId="1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zoomScale="75" workbookViewId="0">
      <selection activeCell="B2" sqref="B2:M16"/>
    </sheetView>
  </sheetViews>
  <sheetFormatPr defaultRowHeight="14.4" x14ac:dyDescent="0.3"/>
  <cols>
    <col min="1" max="1" width="11.44140625" bestFit="1" customWidth="1"/>
    <col min="2" max="13" width="17.88671875" bestFit="1" customWidth="1"/>
    <col min="14" max="16" width="10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2">
        <v>178824762</v>
      </c>
      <c r="C2" s="2">
        <v>174371272</v>
      </c>
      <c r="D2" s="2">
        <v>182250524</v>
      </c>
      <c r="E2" s="2">
        <v>187046590</v>
      </c>
      <c r="F2" s="2">
        <v>189444624</v>
      </c>
      <c r="G2" s="2">
        <v>183278252</v>
      </c>
      <c r="H2" s="2">
        <v>137373045</v>
      </c>
      <c r="I2" s="2">
        <v>149705788</v>
      </c>
      <c r="J2" s="2">
        <v>178824762</v>
      </c>
      <c r="K2" s="2">
        <v>195953571</v>
      </c>
      <c r="L2" s="2">
        <v>184648557</v>
      </c>
      <c r="M2" s="2">
        <v>183278252</v>
      </c>
    </row>
    <row r="3" spans="1:13" x14ac:dyDescent="0.3">
      <c r="A3" s="1" t="s">
        <v>14</v>
      </c>
      <c r="B3" s="2">
        <v>88360471</v>
      </c>
      <c r="C3" s="2">
        <v>86159923</v>
      </c>
      <c r="D3" s="2">
        <v>90053200</v>
      </c>
      <c r="E3" s="2">
        <v>92423021</v>
      </c>
      <c r="F3" s="2">
        <v>93607932</v>
      </c>
      <c r="G3" s="2">
        <v>90561019</v>
      </c>
      <c r="H3" s="2">
        <v>67878446</v>
      </c>
      <c r="I3" s="2">
        <v>73972271</v>
      </c>
      <c r="J3" s="2">
        <v>88360471</v>
      </c>
      <c r="K3" s="2">
        <v>96824117</v>
      </c>
      <c r="L3" s="2">
        <v>91238111</v>
      </c>
      <c r="M3" s="2">
        <v>90561019</v>
      </c>
    </row>
    <row r="4" spans="1:13" x14ac:dyDescent="0.3">
      <c r="A4" s="1" t="s">
        <v>15</v>
      </c>
      <c r="B4" s="2">
        <v>25245849</v>
      </c>
      <c r="C4" s="2">
        <v>24617121</v>
      </c>
      <c r="D4" s="2">
        <v>25729486</v>
      </c>
      <c r="E4" s="2">
        <v>26406577</v>
      </c>
      <c r="F4" s="2">
        <v>26745123</v>
      </c>
      <c r="G4" s="2">
        <v>25874577</v>
      </c>
      <c r="H4" s="2">
        <v>19393842</v>
      </c>
      <c r="I4" s="2">
        <v>21134935</v>
      </c>
      <c r="J4" s="2">
        <v>25245849</v>
      </c>
      <c r="K4" s="2">
        <v>27664034</v>
      </c>
      <c r="L4" s="2">
        <v>26068032</v>
      </c>
      <c r="M4" s="2">
        <v>25874577</v>
      </c>
    </row>
    <row r="5" spans="1:13" x14ac:dyDescent="0.3">
      <c r="A5" s="1" t="s">
        <v>16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3">
      <c r="A6" s="1" t="s">
        <v>17</v>
      </c>
      <c r="B6" s="2">
        <v>93409640</v>
      </c>
      <c r="C6" s="2">
        <v>91083347</v>
      </c>
      <c r="D6" s="2">
        <v>95199097</v>
      </c>
      <c r="E6" s="2">
        <v>97704337</v>
      </c>
      <c r="F6" s="2">
        <v>98956956</v>
      </c>
      <c r="G6" s="2">
        <v>95735934</v>
      </c>
      <c r="H6" s="2">
        <v>71757214</v>
      </c>
      <c r="I6" s="2">
        <v>78199258</v>
      </c>
      <c r="J6" s="2">
        <v>93409640</v>
      </c>
      <c r="K6" s="2">
        <v>102356924</v>
      </c>
      <c r="L6" s="2">
        <v>96451717</v>
      </c>
      <c r="M6" s="2">
        <v>95735934</v>
      </c>
    </row>
    <row r="7" spans="1:13" x14ac:dyDescent="0.3">
      <c r="A7" s="1" t="s">
        <v>18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3">
      <c r="A8" s="1" t="s">
        <v>19</v>
      </c>
      <c r="B8" s="2">
        <v>25245849</v>
      </c>
      <c r="C8" s="2">
        <v>24617121</v>
      </c>
      <c r="D8" s="2">
        <v>25729486</v>
      </c>
      <c r="E8" s="2">
        <v>26406577</v>
      </c>
      <c r="F8" s="2">
        <v>26745123</v>
      </c>
      <c r="G8" s="2">
        <v>25874577</v>
      </c>
      <c r="H8" s="2">
        <v>19393842</v>
      </c>
      <c r="I8" s="2">
        <v>21134935</v>
      </c>
      <c r="J8" s="2">
        <v>25245849</v>
      </c>
      <c r="K8" s="2">
        <v>27664034</v>
      </c>
      <c r="L8" s="2">
        <v>26068032</v>
      </c>
      <c r="M8" s="2">
        <v>25874577</v>
      </c>
    </row>
    <row r="9" spans="1:13" x14ac:dyDescent="0.3">
      <c r="A9" s="1" t="s">
        <v>20</v>
      </c>
      <c r="B9" s="2">
        <v>5469934</v>
      </c>
      <c r="C9" s="2">
        <v>5333709</v>
      </c>
      <c r="D9" s="2">
        <v>5574722</v>
      </c>
      <c r="E9" s="2">
        <v>5721425</v>
      </c>
      <c r="F9" s="2">
        <v>5794777</v>
      </c>
      <c r="G9" s="2">
        <v>5606158</v>
      </c>
      <c r="H9" s="2">
        <v>4201999</v>
      </c>
      <c r="I9" s="2">
        <v>4579236</v>
      </c>
      <c r="J9" s="2">
        <v>5469934</v>
      </c>
      <c r="K9" s="2">
        <v>5993874</v>
      </c>
      <c r="L9" s="2">
        <v>5648074</v>
      </c>
      <c r="M9" s="2">
        <v>5606158</v>
      </c>
    </row>
    <row r="10" spans="1:13" x14ac:dyDescent="0.3">
      <c r="A10" s="1" t="s">
        <v>21</v>
      </c>
      <c r="B10" s="2">
        <v>4207641</v>
      </c>
      <c r="C10" s="2">
        <v>4102853</v>
      </c>
      <c r="D10" s="2">
        <v>4288248</v>
      </c>
      <c r="E10" s="2">
        <v>4401096</v>
      </c>
      <c r="F10" s="2">
        <v>4457521</v>
      </c>
      <c r="G10" s="2">
        <v>4312429</v>
      </c>
      <c r="H10" s="2">
        <v>3232307</v>
      </c>
      <c r="I10" s="2">
        <v>3522489</v>
      </c>
      <c r="J10" s="2">
        <v>4207641</v>
      </c>
      <c r="K10" s="2">
        <v>4610672</v>
      </c>
      <c r="L10" s="2">
        <v>4344672</v>
      </c>
      <c r="M10" s="2">
        <v>4312429</v>
      </c>
    </row>
    <row r="11" spans="1:13" x14ac:dyDescent="0.3">
      <c r="A11" s="1" t="s">
        <v>22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3">
      <c r="A12" s="1" t="s">
        <v>23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3">
      <c r="A13" s="1" t="s">
        <v>24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3">
      <c r="A14" s="1" t="s">
        <v>25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3">
      <c r="A15" s="1" t="s">
        <v>26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3">
      <c r="A16" s="1" t="s">
        <v>27</v>
      </c>
      <c r="B16" s="2">
        <f>SUM(B2:B15)</f>
        <v>420764146</v>
      </c>
      <c r="C16" s="2">
        <f t="shared" ref="C16:M16" si="0">SUM(C2:C15)</f>
        <v>410285346</v>
      </c>
      <c r="D16" s="2">
        <f t="shared" si="0"/>
        <v>428824763</v>
      </c>
      <c r="E16" s="2">
        <f t="shared" si="0"/>
        <v>440109623</v>
      </c>
      <c r="F16" s="2">
        <f t="shared" si="0"/>
        <v>445752056</v>
      </c>
      <c r="G16" s="2">
        <f t="shared" si="0"/>
        <v>431242946</v>
      </c>
      <c r="H16" s="2">
        <f t="shared" si="0"/>
        <v>323230695</v>
      </c>
      <c r="I16" s="2">
        <f t="shared" si="0"/>
        <v>352248912</v>
      </c>
      <c r="J16" s="2">
        <f t="shared" si="0"/>
        <v>420764146</v>
      </c>
      <c r="K16" s="2">
        <f t="shared" si="0"/>
        <v>461067226</v>
      </c>
      <c r="L16" s="2">
        <f t="shared" si="0"/>
        <v>434467195</v>
      </c>
      <c r="M16" s="2">
        <f t="shared" si="0"/>
        <v>431242946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1" zoomScale="85" zoomScaleNormal="85" workbookViewId="0">
      <selection activeCell="M16" sqref="B2:M16"/>
    </sheetView>
  </sheetViews>
  <sheetFormatPr defaultRowHeight="14.4" x14ac:dyDescent="0.3"/>
  <cols>
    <col min="2" max="2" width="19.77734375" customWidth="1"/>
    <col min="3" max="3" width="19.21875" customWidth="1"/>
    <col min="4" max="4" width="18" customWidth="1"/>
    <col min="5" max="5" width="18.21875" customWidth="1"/>
    <col min="6" max="6" width="17.77734375" customWidth="1"/>
    <col min="7" max="8" width="17.6640625" customWidth="1"/>
    <col min="9" max="9" width="18" customWidth="1"/>
    <col min="10" max="11" width="18.77734375" customWidth="1"/>
    <col min="12" max="12" width="18.33203125" customWidth="1"/>
    <col min="13" max="13" width="15.77734375" bestFit="1" customWidth="1"/>
  </cols>
  <sheetData>
    <row r="1" spans="1:13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 x14ac:dyDescent="0.35">
      <c r="A2" s="2" t="s">
        <v>13</v>
      </c>
      <c r="B2" s="3">
        <v>36945000</v>
      </c>
      <c r="C2" s="3">
        <v>131431250</v>
      </c>
      <c r="D2" s="3">
        <v>146345750</v>
      </c>
      <c r="E2" s="3">
        <v>206195500</v>
      </c>
      <c r="F2" s="3">
        <v>91205000</v>
      </c>
      <c r="G2" s="3">
        <v>151306250</v>
      </c>
      <c r="H2" s="3">
        <v>154832500</v>
      </c>
      <c r="I2" s="3">
        <v>198063750</v>
      </c>
      <c r="J2" s="3">
        <v>315353750</v>
      </c>
      <c r="K2" s="3">
        <v>0</v>
      </c>
      <c r="L2" s="3">
        <v>438745000</v>
      </c>
      <c r="M2" s="3">
        <v>106525000</v>
      </c>
    </row>
    <row r="3" spans="1:13" ht="15" thickBot="1" x14ac:dyDescent="0.35">
      <c r="A3" s="2" t="s">
        <v>14</v>
      </c>
      <c r="B3" s="3">
        <v>3227500</v>
      </c>
      <c r="C3" s="3">
        <v>190622500</v>
      </c>
      <c r="D3" s="3">
        <v>116350000</v>
      </c>
      <c r="E3" s="3">
        <v>62050000</v>
      </c>
      <c r="F3" s="3">
        <v>16200000</v>
      </c>
      <c r="G3" s="3">
        <v>65850000</v>
      </c>
      <c r="H3" s="3">
        <v>15050000</v>
      </c>
      <c r="I3" s="3">
        <v>203300000</v>
      </c>
      <c r="J3" s="3">
        <v>120150000</v>
      </c>
      <c r="K3" s="3">
        <v>0</v>
      </c>
      <c r="L3" s="3">
        <v>184600000</v>
      </c>
      <c r="M3" s="3">
        <v>11750000</v>
      </c>
    </row>
    <row r="4" spans="1:13" ht="15" thickBot="1" x14ac:dyDescent="0.35">
      <c r="A4" s="2" t="s">
        <v>15</v>
      </c>
      <c r="B4" s="3">
        <v>17700000</v>
      </c>
      <c r="C4" s="3">
        <v>18760000</v>
      </c>
      <c r="D4" s="3">
        <v>15825000</v>
      </c>
      <c r="E4" s="3">
        <v>7490000</v>
      </c>
      <c r="F4" s="3">
        <v>36892000</v>
      </c>
      <c r="G4" s="3">
        <v>4995000</v>
      </c>
      <c r="H4" s="3">
        <v>2210000</v>
      </c>
      <c r="I4" s="3">
        <v>4090000</v>
      </c>
      <c r="J4" s="3">
        <v>63885000</v>
      </c>
      <c r="K4" s="3">
        <v>0</v>
      </c>
      <c r="L4" s="3">
        <v>174606000</v>
      </c>
      <c r="M4" s="3">
        <v>2040000</v>
      </c>
    </row>
    <row r="5" spans="1:13" ht="15" thickBot="1" x14ac:dyDescent="0.35">
      <c r="A5" s="2" t="s">
        <v>16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17200000</v>
      </c>
      <c r="I5" s="3">
        <v>61800000</v>
      </c>
      <c r="J5" s="3">
        <v>33000000</v>
      </c>
      <c r="K5" s="3">
        <v>0</v>
      </c>
      <c r="L5" s="3">
        <v>97200000</v>
      </c>
      <c r="M5" s="3">
        <v>14200000</v>
      </c>
    </row>
    <row r="6" spans="1:13" ht="15" thickBot="1" x14ac:dyDescent="0.35">
      <c r="A6" s="2" t="s">
        <v>17</v>
      </c>
      <c r="B6" s="3">
        <v>83100000</v>
      </c>
      <c r="C6" s="3">
        <v>73100000</v>
      </c>
      <c r="D6" s="3">
        <v>74850000</v>
      </c>
      <c r="E6" s="3">
        <v>100200000</v>
      </c>
      <c r="F6" s="3">
        <v>38350000</v>
      </c>
      <c r="G6" s="3">
        <v>53500000</v>
      </c>
      <c r="H6" s="3">
        <v>18800000</v>
      </c>
      <c r="I6" s="3">
        <v>253450000</v>
      </c>
      <c r="J6" s="3">
        <v>147450000</v>
      </c>
      <c r="K6" s="3">
        <v>0</v>
      </c>
      <c r="L6" s="3">
        <v>223540000</v>
      </c>
      <c r="M6" s="3">
        <v>121460000</v>
      </c>
    </row>
    <row r="7" spans="1:13" ht="15" thickBot="1" x14ac:dyDescent="0.35">
      <c r="A7" s="2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ht="15" thickBot="1" x14ac:dyDescent="0.35">
      <c r="A8" s="2" t="s">
        <v>19</v>
      </c>
      <c r="B8" s="3">
        <v>1000000</v>
      </c>
      <c r="C8" s="3">
        <v>0</v>
      </c>
      <c r="D8" s="3">
        <v>112500000</v>
      </c>
      <c r="E8" s="3">
        <v>36000000</v>
      </c>
      <c r="F8" s="3">
        <v>129000000</v>
      </c>
      <c r="G8" s="3">
        <v>0</v>
      </c>
      <c r="H8" s="3">
        <v>0</v>
      </c>
      <c r="I8" s="3">
        <v>0</v>
      </c>
      <c r="J8" s="3">
        <v>1500000</v>
      </c>
      <c r="K8" s="3">
        <v>0</v>
      </c>
      <c r="L8" s="3">
        <v>99500000</v>
      </c>
      <c r="M8" s="3">
        <v>0</v>
      </c>
    </row>
    <row r="9" spans="1:13" ht="15" thickBot="1" x14ac:dyDescent="0.35">
      <c r="A9" s="2" t="s">
        <v>20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9000000</v>
      </c>
      <c r="M9" s="3">
        <v>0</v>
      </c>
    </row>
    <row r="10" spans="1:13" ht="15" thickBot="1" x14ac:dyDescent="0.35">
      <c r="A10" s="2" t="s">
        <v>21</v>
      </c>
      <c r="B10" s="3">
        <v>29500000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ht="15" thickBot="1" x14ac:dyDescent="0.35">
      <c r="A11" s="2" t="s">
        <v>22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ht="15" thickBot="1" x14ac:dyDescent="0.35">
      <c r="A12" s="2" t="s">
        <v>23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ht="15" thickBot="1" x14ac:dyDescent="0.35">
      <c r="A13" s="2" t="s">
        <v>24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ht="15" thickBot="1" x14ac:dyDescent="0.35">
      <c r="A14" s="2" t="s">
        <v>25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s="2" t="s">
        <v>26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A16" s="2" t="s">
        <v>27</v>
      </c>
      <c r="B16" s="2">
        <f t="shared" ref="B16:L16" si="0">SUM(B2:B15)</f>
        <v>171472500</v>
      </c>
      <c r="C16" s="2">
        <f t="shared" si="0"/>
        <v>413913750</v>
      </c>
      <c r="D16" s="2">
        <f t="shared" si="0"/>
        <v>465870750</v>
      </c>
      <c r="E16" s="2">
        <f t="shared" si="0"/>
        <v>411935500</v>
      </c>
      <c r="F16" s="2">
        <f t="shared" si="0"/>
        <v>311647000</v>
      </c>
      <c r="G16" s="2">
        <f t="shared" si="0"/>
        <v>275651250</v>
      </c>
      <c r="H16" s="2">
        <f t="shared" si="0"/>
        <v>208092500</v>
      </c>
      <c r="I16" s="2">
        <f t="shared" si="0"/>
        <v>720703750</v>
      </c>
      <c r="J16" s="2">
        <f t="shared" si="0"/>
        <v>681338750</v>
      </c>
      <c r="K16" s="2">
        <f t="shared" si="0"/>
        <v>0</v>
      </c>
      <c r="L16" s="2">
        <f t="shared" si="0"/>
        <v>1227191000</v>
      </c>
      <c r="M16" s="2">
        <f>SUM(M2:M15)</f>
        <v>255975000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2025-12-01T07:52:04Z</dcterms:created>
  <dcterms:modified xsi:type="dcterms:W3CDTF">2025-12-08T02:25:58Z</dcterms:modified>
  <cp:category/>
</cp:coreProperties>
</file>