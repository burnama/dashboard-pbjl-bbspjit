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328"/>
  <workbookPr filterPrivacy="1"/>
  <xr:revisionPtr revIDLastSave="0" documentId="13_ncr:1_{505F0E36-8CB5-4509-8E7E-C466B7F16FE2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target" sheetId="1" r:id="rId1"/>
    <sheet name="capaian" sheetId="2" r:id="rId2"/>
  </sheets>
  <calcPr calcId="191029" concurrentManualCount="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N2" i="1" l="1"/>
  <c r="C16" i="1"/>
  <c r="D16" i="1"/>
  <c r="E16" i="1"/>
  <c r="F16" i="1"/>
  <c r="G16" i="1"/>
  <c r="H16" i="1"/>
  <c r="I16" i="1"/>
  <c r="J16" i="1"/>
  <c r="K16" i="1"/>
  <c r="L16" i="1"/>
  <c r="M16" i="1"/>
  <c r="B16" i="1"/>
  <c r="C16" i="2"/>
  <c r="D16" i="2"/>
  <c r="E16" i="2"/>
  <c r="F16" i="2"/>
  <c r="G16" i="2"/>
  <c r="H16" i="2"/>
  <c r="I16" i="2"/>
  <c r="J16" i="2"/>
  <c r="K16" i="2"/>
  <c r="L16" i="2"/>
  <c r="M16" i="2"/>
  <c r="B16" i="2"/>
</calcChain>
</file>

<file path=xl/sharedStrings.xml><?xml version="1.0" encoding="utf-8"?>
<sst xmlns="http://schemas.openxmlformats.org/spreadsheetml/2006/main" count="55" uniqueCount="28">
  <si>
    <t>layanan</t>
  </si>
  <si>
    <t>jan</t>
  </si>
  <si>
    <t>feb</t>
  </si>
  <si>
    <t>mar</t>
  </si>
  <si>
    <t>apr</t>
  </si>
  <si>
    <t>mei</t>
  </si>
  <si>
    <t>jun</t>
  </si>
  <si>
    <t>jul</t>
  </si>
  <si>
    <t>agu</t>
  </si>
  <si>
    <t>sep</t>
  </si>
  <si>
    <t>okt</t>
  </si>
  <si>
    <t>nov</t>
  </si>
  <si>
    <t>des</t>
  </si>
  <si>
    <t>pengujian</t>
  </si>
  <si>
    <t>lingkungan</t>
  </si>
  <si>
    <t>kalibrasi</t>
  </si>
  <si>
    <t>masker</t>
  </si>
  <si>
    <t>sertifikasi</t>
  </si>
  <si>
    <t>inspeksi</t>
  </si>
  <si>
    <t>konsultansi</t>
  </si>
  <si>
    <t>bimteks</t>
  </si>
  <si>
    <t>opti</t>
  </si>
  <si>
    <t>uji_profi</t>
  </si>
  <si>
    <t>verifikasi</t>
  </si>
  <si>
    <t>lph</t>
  </si>
  <si>
    <t>aset</t>
  </si>
  <si>
    <t>bagi_hasil</t>
  </si>
  <si>
    <t>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</si>
</sst>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&quot;Rp&quot;#,##0.00"/>
    <numFmt numFmtId="165" formatCode="&quot;Rp&quot;#,##0"/>
  </numFmts>
  <fonts count="2" x14ac:knownFonts="1">
    <font>
      <sz val="11"/>
      <color theme="1"/>
      <name val="Calibri"/>
      <family val="2"/>
      <scheme val="minor"/>
    </font>
    <font>
      <sz val="8"/>
      <color rgb="FF212529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rgb="FFDEE2E6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65" fontId="0" fillId="0" borderId="0" xfId="0" applyNumberFormat="1"/>
    <xf numFmtId="165" fontId="1" fillId="2" borderId="1" xfId="0" applyNumberFormat="1" applyFont="1" applyFill="1" applyBorder="1" applyAlignment="1">
      <alignment vertical="top" wrapText="1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36"/>
  <sheetViews>
    <sheetView tabSelected="1" zoomScale="75" workbookViewId="0">
      <selection sqref="A1:A15"/>
    </sheetView>
  </sheetViews>
  <sheetFormatPr defaultRowHeight="14.4" x14ac:dyDescent="0.3"/>
  <cols>
    <col min="1" max="1" width="10.21875" bestFit="1" customWidth="1"/>
    <col min="2" max="16" width="16.5546875" bestFit="1" customWidth="1"/>
  </cols>
  <sheetData>
    <row r="1" spans="1:14" x14ac:dyDescent="0.3">
      <c r="A1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</row>
    <row r="2" spans="1:14" x14ac:dyDescent="0.3">
      <c r="A2" t="s">
        <v>13</v>
      </c>
      <c r="B2" s="2">
        <v>235440000</v>
      </c>
      <c r="C2" s="2">
        <v>248000000</v>
      </c>
      <c r="D2" s="2">
        <v>216500000</v>
      </c>
      <c r="E2" s="2">
        <v>131400000</v>
      </c>
      <c r="F2" s="2">
        <v>136600000</v>
      </c>
      <c r="G2" s="2">
        <v>186700000</v>
      </c>
      <c r="H2" s="2">
        <v>224200000</v>
      </c>
      <c r="I2" s="2">
        <v>242700000</v>
      </c>
      <c r="J2" s="2">
        <v>225500000</v>
      </c>
      <c r="K2" s="2">
        <v>228300000</v>
      </c>
      <c r="L2" s="2">
        <v>241900000</v>
      </c>
      <c r="M2" s="2">
        <v>272445000</v>
      </c>
      <c r="N2" s="2">
        <f>SUM(B2:M2)</f>
        <v>2589685000</v>
      </c>
    </row>
    <row r="3" spans="1:14" x14ac:dyDescent="0.3">
      <c r="A3" t="s">
        <v>14</v>
      </c>
      <c r="B3" s="2">
        <v>45950000</v>
      </c>
      <c r="C3" s="2">
        <v>48400000</v>
      </c>
      <c r="D3" s="2">
        <v>42250000</v>
      </c>
      <c r="E3" s="2">
        <v>25650000</v>
      </c>
      <c r="F3" s="2">
        <v>26650000</v>
      </c>
      <c r="G3" s="2">
        <v>36450000</v>
      </c>
      <c r="H3" s="2">
        <v>43750000</v>
      </c>
      <c r="I3" s="2">
        <v>47350000</v>
      </c>
      <c r="J3" s="2">
        <v>44000000</v>
      </c>
      <c r="K3" s="2">
        <v>44550000</v>
      </c>
      <c r="L3" s="2">
        <v>47200000</v>
      </c>
      <c r="M3" s="2">
        <v>47850000</v>
      </c>
    </row>
    <row r="4" spans="1:14" x14ac:dyDescent="0.3">
      <c r="A4" t="s">
        <v>15</v>
      </c>
      <c r="B4" s="2">
        <v>27570000</v>
      </c>
      <c r="C4" s="2">
        <v>29040000</v>
      </c>
      <c r="D4" s="2">
        <v>25350000</v>
      </c>
      <c r="E4" s="2">
        <v>15390000</v>
      </c>
      <c r="F4" s="2">
        <v>15990000</v>
      </c>
      <c r="G4" s="2">
        <v>21870000</v>
      </c>
      <c r="H4" s="2">
        <v>26250000</v>
      </c>
      <c r="I4" s="2">
        <v>28410000</v>
      </c>
      <c r="J4" s="2">
        <v>26400000</v>
      </c>
      <c r="K4" s="2">
        <v>26730000</v>
      </c>
      <c r="L4" s="2">
        <v>28320000</v>
      </c>
      <c r="M4" s="2">
        <v>28710000</v>
      </c>
    </row>
    <row r="5" spans="1:14" x14ac:dyDescent="0.3">
      <c r="A5" t="s">
        <v>16</v>
      </c>
      <c r="B5" s="2">
        <v>0</v>
      </c>
      <c r="C5" s="2">
        <v>0</v>
      </c>
      <c r="D5" s="2">
        <v>0</v>
      </c>
      <c r="E5" s="2">
        <v>0</v>
      </c>
      <c r="F5" s="2">
        <v>0</v>
      </c>
      <c r="G5" s="2">
        <v>0</v>
      </c>
      <c r="H5" s="2">
        <v>0</v>
      </c>
      <c r="I5" s="2">
        <v>0</v>
      </c>
      <c r="J5" s="2">
        <v>0</v>
      </c>
      <c r="K5" s="2">
        <v>0</v>
      </c>
      <c r="L5" s="2">
        <v>0</v>
      </c>
      <c r="M5" s="2">
        <v>0</v>
      </c>
    </row>
    <row r="6" spans="1:14" x14ac:dyDescent="0.3">
      <c r="A6" t="s">
        <v>17</v>
      </c>
      <c r="B6" s="2">
        <v>73520000</v>
      </c>
      <c r="C6" s="2">
        <v>77440000</v>
      </c>
      <c r="D6" s="2">
        <v>67600000</v>
      </c>
      <c r="E6" s="2">
        <v>41040000</v>
      </c>
      <c r="F6" s="2">
        <v>42640000</v>
      </c>
      <c r="G6" s="2">
        <v>58320000</v>
      </c>
      <c r="H6" s="2">
        <v>70000000</v>
      </c>
      <c r="I6" s="2">
        <v>75760000</v>
      </c>
      <c r="J6" s="2">
        <v>70400000</v>
      </c>
      <c r="K6" s="2">
        <v>71280000</v>
      </c>
      <c r="L6" s="2">
        <v>75520000</v>
      </c>
      <c r="M6" s="2">
        <v>76560000</v>
      </c>
    </row>
    <row r="7" spans="1:14" x14ac:dyDescent="0.3">
      <c r="A7" t="s">
        <v>18</v>
      </c>
      <c r="B7" s="2">
        <v>0</v>
      </c>
      <c r="C7" s="2">
        <v>0</v>
      </c>
      <c r="D7" s="2">
        <v>0</v>
      </c>
      <c r="E7" s="2">
        <v>0</v>
      </c>
      <c r="F7" s="2">
        <v>0</v>
      </c>
      <c r="G7" s="2">
        <v>0</v>
      </c>
      <c r="H7" s="2">
        <v>0</v>
      </c>
      <c r="I7" s="2">
        <v>0</v>
      </c>
      <c r="J7" s="2">
        <v>0</v>
      </c>
      <c r="K7" s="2">
        <v>0</v>
      </c>
      <c r="L7" s="2">
        <v>0</v>
      </c>
      <c r="M7" s="2">
        <v>0</v>
      </c>
    </row>
    <row r="8" spans="1:14" x14ac:dyDescent="0.3">
      <c r="A8" t="s">
        <v>19</v>
      </c>
      <c r="B8" s="2">
        <v>33080000</v>
      </c>
      <c r="C8" s="2">
        <v>34850000</v>
      </c>
      <c r="D8" s="2">
        <v>30420000</v>
      </c>
      <c r="E8" s="2">
        <v>18470000</v>
      </c>
      <c r="F8" s="2">
        <v>19190000</v>
      </c>
      <c r="G8" s="2">
        <v>26240000</v>
      </c>
      <c r="H8" s="2">
        <v>31500000</v>
      </c>
      <c r="I8" s="2">
        <v>34090000</v>
      </c>
      <c r="J8" s="2">
        <v>31680000</v>
      </c>
      <c r="K8" s="2">
        <v>32050000</v>
      </c>
      <c r="L8" s="2">
        <v>33980000</v>
      </c>
      <c r="M8" s="2">
        <v>34560000</v>
      </c>
    </row>
    <row r="9" spans="1:14" x14ac:dyDescent="0.3">
      <c r="A9" t="s">
        <v>20</v>
      </c>
      <c r="B9" s="2">
        <v>36760000</v>
      </c>
      <c r="C9" s="2">
        <v>38720000</v>
      </c>
      <c r="D9" s="2">
        <v>33800000</v>
      </c>
      <c r="E9" s="2">
        <v>20520000</v>
      </c>
      <c r="F9" s="2">
        <v>21320000</v>
      </c>
      <c r="G9" s="2">
        <v>29160000</v>
      </c>
      <c r="H9" s="2">
        <v>35000000</v>
      </c>
      <c r="I9" s="2">
        <v>37880000</v>
      </c>
      <c r="J9" s="2">
        <v>35200000</v>
      </c>
      <c r="K9" s="2">
        <v>35640000</v>
      </c>
      <c r="L9" s="2">
        <v>37760000</v>
      </c>
      <c r="M9" s="2">
        <v>38280000</v>
      </c>
    </row>
    <row r="10" spans="1:14" x14ac:dyDescent="0.3">
      <c r="A10" t="s">
        <v>21</v>
      </c>
      <c r="B10" s="2">
        <v>4595000</v>
      </c>
      <c r="C10" s="2">
        <v>4840000</v>
      </c>
      <c r="D10" s="2">
        <v>4225000</v>
      </c>
      <c r="E10" s="2">
        <v>2565000</v>
      </c>
      <c r="F10" s="2">
        <v>2665000</v>
      </c>
      <c r="G10" s="2">
        <v>3645000</v>
      </c>
      <c r="H10" s="2">
        <v>4375000</v>
      </c>
      <c r="I10" s="2">
        <v>4735000</v>
      </c>
      <c r="J10" s="2">
        <v>4400000</v>
      </c>
      <c r="K10" s="2">
        <v>4455000</v>
      </c>
      <c r="L10" s="2">
        <v>4720000</v>
      </c>
      <c r="M10" s="2">
        <v>4785000</v>
      </c>
    </row>
    <row r="11" spans="1:14" x14ac:dyDescent="0.3">
      <c r="A11" t="s">
        <v>22</v>
      </c>
      <c r="B11" s="2">
        <v>0</v>
      </c>
      <c r="C11" s="2">
        <v>0</v>
      </c>
      <c r="D11" s="2">
        <v>0</v>
      </c>
      <c r="E11" s="2">
        <v>0</v>
      </c>
      <c r="F11" s="2">
        <v>0</v>
      </c>
      <c r="G11" s="2">
        <v>0</v>
      </c>
      <c r="H11" s="2">
        <v>0</v>
      </c>
      <c r="I11" s="2">
        <v>0</v>
      </c>
      <c r="J11" s="2">
        <v>0</v>
      </c>
      <c r="K11" s="2">
        <v>0</v>
      </c>
      <c r="L11" s="2">
        <v>0</v>
      </c>
      <c r="M11" s="2">
        <v>0</v>
      </c>
    </row>
    <row r="12" spans="1:14" x14ac:dyDescent="0.3">
      <c r="A12" t="s">
        <v>23</v>
      </c>
      <c r="B12" s="2">
        <v>0</v>
      </c>
      <c r="C12" s="2">
        <v>0</v>
      </c>
      <c r="D12" s="2">
        <v>0</v>
      </c>
      <c r="E12" s="2">
        <v>0</v>
      </c>
      <c r="F12" s="2">
        <v>0</v>
      </c>
      <c r="G12" s="2">
        <v>0</v>
      </c>
      <c r="H12" s="2">
        <v>0</v>
      </c>
      <c r="I12" s="2">
        <v>0</v>
      </c>
      <c r="J12" s="2">
        <v>0</v>
      </c>
      <c r="K12" s="2">
        <v>0</v>
      </c>
      <c r="L12" s="2">
        <v>0</v>
      </c>
      <c r="M12" s="2">
        <v>0</v>
      </c>
    </row>
    <row r="13" spans="1:14" x14ac:dyDescent="0.3">
      <c r="A13" t="s">
        <v>24</v>
      </c>
      <c r="B13" s="2">
        <v>0</v>
      </c>
      <c r="C13" s="2">
        <v>0</v>
      </c>
      <c r="D13" s="2">
        <v>0</v>
      </c>
      <c r="E13" s="2">
        <v>0</v>
      </c>
      <c r="F13" s="2">
        <v>0</v>
      </c>
      <c r="G13" s="2">
        <v>0</v>
      </c>
      <c r="H13" s="2">
        <v>0</v>
      </c>
      <c r="I13" s="2">
        <v>0</v>
      </c>
      <c r="J13" s="2">
        <v>0</v>
      </c>
      <c r="K13" s="2">
        <v>0</v>
      </c>
      <c r="L13" s="2">
        <v>0</v>
      </c>
      <c r="M13" s="2">
        <v>0</v>
      </c>
    </row>
    <row r="14" spans="1:14" x14ac:dyDescent="0.3">
      <c r="A14" t="s">
        <v>25</v>
      </c>
      <c r="B14" s="2">
        <v>0</v>
      </c>
      <c r="C14" s="2">
        <v>0</v>
      </c>
      <c r="D14" s="2">
        <v>0</v>
      </c>
      <c r="E14" s="2">
        <v>0</v>
      </c>
      <c r="F14" s="2">
        <v>0</v>
      </c>
      <c r="G14" s="2">
        <v>0</v>
      </c>
      <c r="H14" s="2">
        <v>0</v>
      </c>
      <c r="I14" s="2">
        <v>0</v>
      </c>
      <c r="J14" s="2">
        <v>0</v>
      </c>
      <c r="K14" s="2">
        <v>0</v>
      </c>
      <c r="L14" s="2">
        <v>0</v>
      </c>
      <c r="M14" s="2">
        <v>0</v>
      </c>
    </row>
    <row r="15" spans="1:14" x14ac:dyDescent="0.3">
      <c r="A15" t="s">
        <v>26</v>
      </c>
      <c r="B15" s="2">
        <v>0</v>
      </c>
      <c r="C15" s="2">
        <v>0</v>
      </c>
      <c r="D15" s="2">
        <v>0</v>
      </c>
      <c r="E15" s="2">
        <v>0</v>
      </c>
      <c r="F15" s="2">
        <v>0</v>
      </c>
      <c r="G15" s="2">
        <v>0</v>
      </c>
      <c r="H15" s="2">
        <v>0</v>
      </c>
      <c r="I15" s="2">
        <v>0</v>
      </c>
      <c r="J15" s="2">
        <v>0</v>
      </c>
      <c r="K15" s="2">
        <v>0</v>
      </c>
      <c r="L15" s="2">
        <v>0</v>
      </c>
      <c r="M15" s="2">
        <v>0</v>
      </c>
    </row>
    <row r="16" spans="1:14" x14ac:dyDescent="0.3">
      <c r="B16" s="2">
        <f>SUM(B2:B15)</f>
        <v>456915000</v>
      </c>
      <c r="C16" s="2">
        <f t="shared" ref="C16:M16" si="0">SUM(C2:C15)</f>
        <v>481290000</v>
      </c>
      <c r="D16" s="2">
        <f t="shared" si="0"/>
        <v>420145000</v>
      </c>
      <c r="E16" s="2">
        <f t="shared" si="0"/>
        <v>255035000</v>
      </c>
      <c r="F16" s="2">
        <f t="shared" si="0"/>
        <v>265055000</v>
      </c>
      <c r="G16" s="2">
        <f t="shared" si="0"/>
        <v>362385000</v>
      </c>
      <c r="H16" s="2">
        <f t="shared" si="0"/>
        <v>435075000</v>
      </c>
      <c r="I16" s="2">
        <f t="shared" si="0"/>
        <v>470925000</v>
      </c>
      <c r="J16" s="2">
        <f t="shared" si="0"/>
        <v>437580000</v>
      </c>
      <c r="K16" s="2">
        <f t="shared" si="0"/>
        <v>443005000</v>
      </c>
      <c r="L16" s="2">
        <f t="shared" si="0"/>
        <v>469400000</v>
      </c>
      <c r="M16" s="2">
        <f t="shared" si="0"/>
        <v>503190000</v>
      </c>
    </row>
    <row r="20" spans="5:16" x14ac:dyDescent="0.3"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</row>
    <row r="21" spans="5:16" x14ac:dyDescent="0.3"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</row>
    <row r="22" spans="5:16" x14ac:dyDescent="0.3"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</row>
    <row r="23" spans="5:16" x14ac:dyDescent="0.3"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</row>
    <row r="24" spans="5:16" x14ac:dyDescent="0.3">
      <c r="E24" s="1"/>
      <c r="F24" s="1"/>
      <c r="G24" s="1"/>
      <c r="H24" s="1"/>
      <c r="I24" s="1"/>
      <c r="J24" s="1"/>
      <c r="L24" s="1"/>
      <c r="M24" s="1"/>
      <c r="N24" s="1"/>
      <c r="O24" s="1"/>
      <c r="P24" s="1"/>
    </row>
    <row r="25" spans="5:16" x14ac:dyDescent="0.3">
      <c r="E25" s="1"/>
      <c r="F25" s="1"/>
      <c r="G25" s="1"/>
      <c r="H25" s="1"/>
      <c r="I25" s="1"/>
      <c r="J25" s="1"/>
      <c r="K25" s="1"/>
      <c r="L25" s="1"/>
      <c r="M25" s="1"/>
      <c r="N25" s="1"/>
      <c r="O25" s="1"/>
      <c r="P25" s="1"/>
    </row>
    <row r="26" spans="5:16" x14ac:dyDescent="0.3">
      <c r="E26" s="1"/>
      <c r="F26" s="1"/>
      <c r="G26" s="1"/>
      <c r="H26" s="1"/>
      <c r="I26" s="1"/>
      <c r="J26" s="1"/>
      <c r="K26" s="1"/>
      <c r="L26" s="1"/>
      <c r="M26" s="1"/>
      <c r="N26" s="1"/>
      <c r="O26" s="1"/>
      <c r="P26" s="1"/>
    </row>
    <row r="27" spans="5:16" x14ac:dyDescent="0.3">
      <c r="E27" s="1"/>
      <c r="F27" s="1"/>
      <c r="G27" s="1"/>
      <c r="H27" s="1"/>
      <c r="I27" s="1"/>
      <c r="J27" s="1"/>
      <c r="K27" s="1"/>
      <c r="L27" s="1"/>
      <c r="M27" s="1"/>
      <c r="N27" s="1"/>
      <c r="O27" s="1"/>
      <c r="P27" s="1"/>
    </row>
    <row r="28" spans="5:16" x14ac:dyDescent="0.3">
      <c r="E28" s="1"/>
      <c r="F28" s="1"/>
      <c r="G28" s="1"/>
      <c r="H28" s="1"/>
      <c r="I28" s="1"/>
      <c r="J28" s="1"/>
      <c r="K28" s="1"/>
      <c r="L28" s="1"/>
      <c r="M28" s="1"/>
      <c r="N28" s="1"/>
      <c r="O28" s="1"/>
      <c r="P28" s="1"/>
    </row>
    <row r="35" spans="11:11" x14ac:dyDescent="0.3">
      <c r="K35" s="1"/>
    </row>
    <row r="36" spans="11:11" x14ac:dyDescent="0.3">
      <c r="K36" s="1"/>
    </row>
  </sheetData>
  <pageMargins left="0.7" right="0.7" top="0.75" bottom="0.75" header="0.3" footer="0.3"/>
  <pageSetup orientation="portrait" horizontalDpi="4294967295" verticalDpi="4294967295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16"/>
  <sheetViews>
    <sheetView workbookViewId="0">
      <selection activeCell="C21" sqref="C21"/>
    </sheetView>
  </sheetViews>
  <sheetFormatPr defaultRowHeight="14.4" x14ac:dyDescent="0.3"/>
  <cols>
    <col min="2" max="2" width="19.77734375" customWidth="1"/>
    <col min="3" max="3" width="19.21875" customWidth="1"/>
    <col min="4" max="4" width="18" customWidth="1"/>
    <col min="5" max="5" width="18.21875" customWidth="1"/>
    <col min="6" max="6" width="17.77734375" customWidth="1"/>
    <col min="7" max="8" width="17.6640625" customWidth="1"/>
    <col min="9" max="9" width="18" customWidth="1"/>
    <col min="10" max="11" width="18.77734375" customWidth="1"/>
    <col min="12" max="12" width="18.33203125" customWidth="1"/>
    <col min="13" max="13" width="13.33203125" bestFit="1" customWidth="1"/>
  </cols>
  <sheetData>
    <row r="1" spans="1:13" ht="15" thickBot="1" x14ac:dyDescent="0.3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 ht="15" thickBot="1" x14ac:dyDescent="0.35">
      <c r="A2" t="s">
        <v>13</v>
      </c>
      <c r="B2" s="3">
        <v>198815000</v>
      </c>
      <c r="C2" s="3">
        <v>227410000</v>
      </c>
      <c r="D2" s="3">
        <v>121600000</v>
      </c>
      <c r="E2" s="3">
        <v>29335000</v>
      </c>
      <c r="F2" s="3">
        <v>23010000</v>
      </c>
      <c r="G2" s="3">
        <v>104257500</v>
      </c>
      <c r="H2" s="3">
        <v>172215000</v>
      </c>
      <c r="I2" s="3">
        <v>145783750</v>
      </c>
      <c r="J2" s="3">
        <v>167587500</v>
      </c>
      <c r="K2" s="3">
        <v>175110000</v>
      </c>
      <c r="L2" s="3">
        <v>206590000</v>
      </c>
      <c r="M2" s="3">
        <v>80811250</v>
      </c>
    </row>
    <row r="3" spans="1:13" ht="15" thickBot="1" x14ac:dyDescent="0.35">
      <c r="A3" t="s">
        <v>14</v>
      </c>
      <c r="B3" s="3">
        <v>29005000</v>
      </c>
      <c r="C3" s="3">
        <v>18505000</v>
      </c>
      <c r="D3" s="3">
        <v>48820000</v>
      </c>
      <c r="E3" s="3">
        <v>0</v>
      </c>
      <c r="F3" s="3">
        <v>0</v>
      </c>
      <c r="G3" s="3">
        <v>25560000</v>
      </c>
      <c r="H3" s="3">
        <v>90625000</v>
      </c>
      <c r="I3" s="3">
        <v>230625000</v>
      </c>
      <c r="J3" s="3">
        <v>297150000</v>
      </c>
      <c r="K3" s="3">
        <v>42025000</v>
      </c>
      <c r="L3" s="3">
        <v>114800000</v>
      </c>
      <c r="M3" s="3">
        <v>8740000</v>
      </c>
    </row>
    <row r="4" spans="1:13" ht="15" thickBot="1" x14ac:dyDescent="0.35">
      <c r="A4" t="s">
        <v>15</v>
      </c>
      <c r="B4" s="3">
        <v>28915000</v>
      </c>
      <c r="C4" s="3">
        <v>22185000</v>
      </c>
      <c r="D4" s="3">
        <v>12880000</v>
      </c>
      <c r="E4" s="3">
        <v>0</v>
      </c>
      <c r="F4" s="3">
        <v>1515000</v>
      </c>
      <c r="G4" s="3">
        <v>2015000</v>
      </c>
      <c r="H4" s="3">
        <v>11850000</v>
      </c>
      <c r="I4" s="3">
        <v>21130000</v>
      </c>
      <c r="J4" s="3">
        <v>23965000</v>
      </c>
      <c r="K4" s="3">
        <v>26910000</v>
      </c>
      <c r="L4" s="3">
        <v>33050000</v>
      </c>
      <c r="M4" s="3">
        <v>1695000</v>
      </c>
    </row>
    <row r="5" spans="1:13" ht="15" thickBot="1" x14ac:dyDescent="0.35">
      <c r="A5" t="s">
        <v>16</v>
      </c>
      <c r="B5" s="3">
        <v>0</v>
      </c>
      <c r="C5" s="3">
        <v>0</v>
      </c>
      <c r="D5" s="3">
        <v>0</v>
      </c>
      <c r="E5" s="3">
        <v>0</v>
      </c>
      <c r="F5" s="3">
        <v>0</v>
      </c>
      <c r="G5" s="3">
        <v>0</v>
      </c>
      <c r="H5" s="3">
        <v>0</v>
      </c>
      <c r="I5" s="3">
        <v>0</v>
      </c>
      <c r="J5" s="3">
        <v>0</v>
      </c>
      <c r="K5" s="3">
        <v>0</v>
      </c>
      <c r="L5" s="3">
        <v>0</v>
      </c>
      <c r="M5" s="3">
        <v>0</v>
      </c>
    </row>
    <row r="6" spans="1:13" ht="15" thickBot="1" x14ac:dyDescent="0.35">
      <c r="A6" t="s">
        <v>17</v>
      </c>
      <c r="B6" s="3">
        <v>43650000</v>
      </c>
      <c r="C6" s="3">
        <v>55500000</v>
      </c>
      <c r="D6" s="3">
        <v>48900000</v>
      </c>
      <c r="E6" s="3">
        <v>0</v>
      </c>
      <c r="F6" s="3">
        <v>10200000</v>
      </c>
      <c r="G6" s="3">
        <v>5100000</v>
      </c>
      <c r="H6" s="3">
        <v>39700000</v>
      </c>
      <c r="I6" s="3">
        <v>54100000</v>
      </c>
      <c r="J6" s="3">
        <v>125000000</v>
      </c>
      <c r="K6" s="3">
        <v>149200000</v>
      </c>
      <c r="L6" s="3">
        <v>249800000</v>
      </c>
      <c r="M6" s="3">
        <v>97000000</v>
      </c>
    </row>
    <row r="7" spans="1:13" ht="15" thickBot="1" x14ac:dyDescent="0.35">
      <c r="A7" t="s">
        <v>18</v>
      </c>
      <c r="B7" s="3">
        <v>0</v>
      </c>
      <c r="C7" s="3">
        <v>0</v>
      </c>
      <c r="D7" s="3">
        <v>0</v>
      </c>
      <c r="E7" s="3">
        <v>0</v>
      </c>
      <c r="F7" s="3">
        <v>0</v>
      </c>
      <c r="G7" s="3">
        <v>0</v>
      </c>
      <c r="H7" s="3">
        <v>0</v>
      </c>
      <c r="I7" s="3">
        <v>0</v>
      </c>
      <c r="J7" s="3">
        <v>0</v>
      </c>
      <c r="K7" s="3">
        <v>0</v>
      </c>
      <c r="L7" s="3">
        <v>0</v>
      </c>
      <c r="M7" s="3">
        <v>0</v>
      </c>
    </row>
    <row r="8" spans="1:13" ht="15" thickBot="1" x14ac:dyDescent="0.35">
      <c r="A8" t="s">
        <v>19</v>
      </c>
      <c r="B8" s="3">
        <v>2000000</v>
      </c>
      <c r="C8" s="3">
        <v>2000000</v>
      </c>
      <c r="D8" s="3">
        <v>0</v>
      </c>
      <c r="E8" s="3">
        <v>0</v>
      </c>
      <c r="F8" s="3">
        <v>0</v>
      </c>
      <c r="G8" s="3">
        <v>0</v>
      </c>
      <c r="H8" s="3">
        <v>20000000</v>
      </c>
      <c r="I8" s="3">
        <v>49920000</v>
      </c>
      <c r="J8" s="3">
        <v>3435000</v>
      </c>
      <c r="K8" s="3">
        <v>0</v>
      </c>
      <c r="L8" s="3">
        <v>19500000</v>
      </c>
      <c r="M8" s="3">
        <v>36000000</v>
      </c>
    </row>
    <row r="9" spans="1:13" ht="15" thickBot="1" x14ac:dyDescent="0.35">
      <c r="A9" t="s">
        <v>20</v>
      </c>
      <c r="B9" s="3">
        <v>960000</v>
      </c>
      <c r="C9" s="3">
        <v>500000</v>
      </c>
      <c r="D9" s="3">
        <v>0</v>
      </c>
      <c r="E9" s="3">
        <v>0</v>
      </c>
      <c r="F9" s="3">
        <v>0</v>
      </c>
      <c r="G9" s="3">
        <v>0</v>
      </c>
      <c r="H9" s="3">
        <v>0</v>
      </c>
      <c r="I9" s="3">
        <v>0</v>
      </c>
      <c r="J9" s="3">
        <v>0</v>
      </c>
      <c r="K9" s="3">
        <v>0</v>
      </c>
      <c r="L9" s="3">
        <v>0</v>
      </c>
      <c r="M9" s="3">
        <v>0</v>
      </c>
    </row>
    <row r="10" spans="1:13" ht="15" thickBot="1" x14ac:dyDescent="0.35">
      <c r="A10" t="s">
        <v>21</v>
      </c>
      <c r="B10" s="3">
        <v>0</v>
      </c>
      <c r="C10" s="3">
        <v>14000000</v>
      </c>
      <c r="D10" s="3">
        <v>33265000</v>
      </c>
      <c r="E10" s="3">
        <v>0</v>
      </c>
      <c r="F10" s="3">
        <v>0</v>
      </c>
      <c r="G10" s="3">
        <v>0</v>
      </c>
      <c r="H10" s="3">
        <v>0</v>
      </c>
      <c r="I10" s="3">
        <v>0</v>
      </c>
      <c r="J10" s="3">
        <v>0</v>
      </c>
      <c r="K10" s="3">
        <v>4000000</v>
      </c>
      <c r="L10" s="3">
        <v>0</v>
      </c>
      <c r="M10" s="3">
        <v>0</v>
      </c>
    </row>
    <row r="11" spans="1:13" ht="15" thickBot="1" x14ac:dyDescent="0.35">
      <c r="A11" t="s">
        <v>22</v>
      </c>
      <c r="B11" s="3">
        <v>0</v>
      </c>
      <c r="C11" s="3">
        <v>0</v>
      </c>
      <c r="D11" s="3">
        <v>0</v>
      </c>
      <c r="E11" s="3">
        <v>0</v>
      </c>
      <c r="F11" s="3">
        <v>0</v>
      </c>
      <c r="G11" s="3">
        <v>0</v>
      </c>
      <c r="H11" s="3">
        <v>0</v>
      </c>
      <c r="I11" s="3">
        <v>0</v>
      </c>
      <c r="J11" s="3">
        <v>0</v>
      </c>
      <c r="K11" s="3">
        <v>0</v>
      </c>
      <c r="L11" s="3">
        <v>0</v>
      </c>
      <c r="M11" s="3">
        <v>0</v>
      </c>
    </row>
    <row r="12" spans="1:13" ht="15" thickBot="1" x14ac:dyDescent="0.35">
      <c r="A12" t="s">
        <v>23</v>
      </c>
      <c r="B12" s="3">
        <v>0</v>
      </c>
      <c r="C12" s="3">
        <v>0</v>
      </c>
      <c r="D12" s="3">
        <v>0</v>
      </c>
      <c r="E12" s="3">
        <v>0</v>
      </c>
      <c r="F12" s="3">
        <v>0</v>
      </c>
      <c r="G12" s="3">
        <v>0</v>
      </c>
      <c r="H12" s="3">
        <v>0</v>
      </c>
      <c r="I12" s="3">
        <v>0</v>
      </c>
      <c r="J12" s="3">
        <v>0</v>
      </c>
      <c r="K12" s="3">
        <v>0</v>
      </c>
      <c r="L12" s="3">
        <v>0</v>
      </c>
      <c r="M12" s="3">
        <v>0</v>
      </c>
    </row>
    <row r="13" spans="1:13" ht="15" thickBot="1" x14ac:dyDescent="0.35">
      <c r="A13" t="s">
        <v>24</v>
      </c>
      <c r="B13" s="3">
        <v>0</v>
      </c>
      <c r="C13" s="3">
        <v>0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</row>
    <row r="14" spans="1:13" ht="15" thickBot="1" x14ac:dyDescent="0.35">
      <c r="A14" t="s">
        <v>25</v>
      </c>
      <c r="B14" s="3">
        <v>0</v>
      </c>
      <c r="C14" s="3">
        <v>0</v>
      </c>
      <c r="D14" s="3">
        <v>0</v>
      </c>
      <c r="E14" s="3">
        <v>0</v>
      </c>
      <c r="F14" s="3">
        <v>0</v>
      </c>
      <c r="G14" s="3">
        <v>0</v>
      </c>
      <c r="H14" s="3">
        <v>0</v>
      </c>
      <c r="I14" s="3">
        <v>0</v>
      </c>
      <c r="J14" s="3">
        <v>0</v>
      </c>
      <c r="K14" s="3">
        <v>0</v>
      </c>
      <c r="L14" s="3">
        <v>0</v>
      </c>
      <c r="M14" s="3">
        <v>0</v>
      </c>
    </row>
    <row r="15" spans="1:13" x14ac:dyDescent="0.3">
      <c r="A15" t="s">
        <v>26</v>
      </c>
      <c r="B15" s="3">
        <v>0</v>
      </c>
      <c r="C15" s="3">
        <v>0</v>
      </c>
      <c r="D15" s="3">
        <v>0</v>
      </c>
      <c r="E15" s="3">
        <v>0</v>
      </c>
      <c r="F15" s="3">
        <v>0</v>
      </c>
      <c r="G15" s="3">
        <v>0</v>
      </c>
      <c r="H15" s="3">
        <v>0</v>
      </c>
      <c r="I15" s="3">
        <v>0</v>
      </c>
      <c r="J15" s="3">
        <v>0</v>
      </c>
      <c r="K15" s="3">
        <v>0</v>
      </c>
      <c r="L15" s="3">
        <v>0</v>
      </c>
      <c r="M15" s="3">
        <v>0</v>
      </c>
    </row>
    <row r="16" spans="1:13" x14ac:dyDescent="0.3">
      <c r="A16" t="s">
        <v>27</v>
      </c>
      <c r="B16" s="2">
        <f>SUM(B2:B15)</f>
        <v>303345000</v>
      </c>
      <c r="C16" s="2">
        <f t="shared" ref="C16:M16" si="0">SUM(C2:C15)</f>
        <v>340100000</v>
      </c>
      <c r="D16" s="2">
        <f t="shared" si="0"/>
        <v>265465000</v>
      </c>
      <c r="E16" s="2">
        <f t="shared" si="0"/>
        <v>29335000</v>
      </c>
      <c r="F16" s="2">
        <f t="shared" si="0"/>
        <v>34725000</v>
      </c>
      <c r="G16" s="2">
        <f t="shared" si="0"/>
        <v>136932500</v>
      </c>
      <c r="H16" s="2">
        <f t="shared" si="0"/>
        <v>334390000</v>
      </c>
      <c r="I16" s="2">
        <f t="shared" si="0"/>
        <v>501558750</v>
      </c>
      <c r="J16" s="2">
        <f t="shared" si="0"/>
        <v>617137500</v>
      </c>
      <c r="K16" s="2">
        <f t="shared" si="0"/>
        <v>397245000</v>
      </c>
      <c r="L16" s="2">
        <f t="shared" si="0"/>
        <v>623740000</v>
      </c>
      <c r="M16" s="2">
        <f t="shared" si="0"/>
        <v>224246250</v>
      </c>
    </row>
  </sheetData>
  <pageMargins left="0.7" right="0.7" top="0.75" bottom="0.75" header="0.3" footer="0.3"/>
  <pageSetup orientation="portrait" horizontalDpi="4294967295" verticalDpi="429496729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target</vt:lpstr>
      <vt:lpstr>capaian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2025-12-01T07:52:04Z</dcterms:created>
  <dcterms:modified xsi:type="dcterms:W3CDTF">2025-12-08T04:35:17Z</dcterms:modified>
  <cp:category/>
</cp:coreProperties>
</file>